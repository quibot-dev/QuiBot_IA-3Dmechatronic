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c\2-Carrera\TFG\2. Documents\4. Fitxers git\Llistat de material de compra\"/>
    </mc:Choice>
  </mc:AlternateContent>
  <xr:revisionPtr revIDLastSave="0" documentId="13_ncr:1_{7213BE57-5401-4AD8-8E63-F826BE681009}" xr6:coauthVersionLast="47" xr6:coauthVersionMax="47" xr10:uidLastSave="{00000000-0000-0000-0000-000000000000}"/>
  <bookViews>
    <workbookView xWindow="-108" yWindow="-108" windowWidth="23256" windowHeight="13896" xr2:uid="{A1CCBF14-8D5E-4BFD-BB76-9B8E10F1F3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7" i="1" l="1"/>
</calcChain>
</file>

<file path=xl/sharedStrings.xml><?xml version="1.0" encoding="utf-8"?>
<sst xmlns="http://schemas.openxmlformats.org/spreadsheetml/2006/main" count="125" uniqueCount="76">
  <si>
    <t>Categoria/Concepte</t>
  </si>
  <si>
    <t>Quantitat</t>
  </si>
  <si>
    <t>Cost unitari (€)</t>
  </si>
  <si>
    <t>Cost Total (€)</t>
  </si>
  <si>
    <t>Ref.</t>
  </si>
  <si>
    <t>Processament i Control</t>
  </si>
  <si>
    <t>Raspberry Pi 4 Model B 4 GB</t>
  </si>
  <si>
    <t>Link</t>
  </si>
  <si>
    <t>MicroSD</t>
  </si>
  <si>
    <t>Arduino Uno Rev3</t>
  </si>
  <si>
    <t>Sensors i Interfície </t>
  </si>
  <si>
    <t>DualEye</t>
  </si>
  <si>
    <t>Mòdul de Micròfon (ReSpeaker)</t>
  </si>
  <si>
    <t>Altaveu</t>
  </si>
  <si>
    <t>Motors</t>
  </si>
  <si>
    <t>Stepper Nema 23</t>
  </si>
  <si>
    <t>Stepper Nema 17</t>
  </si>
  <si>
    <t>Servomotor 15kg·cm</t>
  </si>
  <si>
    <t>45,97 </t>
  </si>
  <si>
    <t>Servomotor 15Kg·cm (2u.)</t>
  </si>
  <si>
    <t>Drivers i Distribució de Potència</t>
  </si>
  <si>
    <t>Driver Steppers (TB6600)</t>
  </si>
  <si>
    <t>10,89 </t>
  </si>
  <si>
    <t>32,67 </t>
  </si>
  <si>
    <t>Placa de distribució (PDB)</t>
  </si>
  <si>
    <t>Convertidor Buck (Arduino i servos)</t>
  </si>
  <si>
    <t>UBEC servo</t>
  </si>
  <si>
    <t>Alimentació</t>
  </si>
  <si>
    <t>Bateria</t>
  </si>
  <si>
    <t>Carregador bateria</t>
  </si>
  <si>
    <t>Alarma bateria</t>
  </si>
  <si>
    <t>Cablejat i Protecció</t>
  </si>
  <si>
    <t>Cable AWG16</t>
  </si>
  <si>
    <t>12,99 </t>
  </si>
  <si>
    <t>Cable AWG18</t>
  </si>
  <si>
    <t>19,79 </t>
  </si>
  <si>
    <t>Cable AWG24</t>
  </si>
  <si>
    <t>8,99 </t>
  </si>
  <si>
    <t>Cable Dupont (mascle-femella)</t>
  </si>
  <si>
    <t>Cable USB-A a USB-C (1m)</t>
  </si>
  <si>
    <t>Cable USB-A a USB-B (1m)</t>
  </si>
  <si>
    <t>Cable d’alimentació Raspberry</t>
  </si>
  <si>
    <t>Fusible</t>
  </si>
  <si>
    <t>*</t>
  </si>
  <si>
    <t>Portafusibles</t>
  </si>
  <si>
    <t>Terminal Faston</t>
  </si>
  <si>
    <t>Concepte</t>
  </si>
  <si>
    <t>Preu unitari (€)</t>
  </si>
  <si>
    <t>Import (€)</t>
  </si>
  <si>
    <t>Transmissió i Moviment</t>
  </si>
  <si>
    <t>Rodament 40x52x7mm</t>
  </si>
  <si>
    <t>Rodament amb brida (2u.)</t>
  </si>
  <si>
    <t>Politja GT2 20D (Ø int. 6,35mm)</t>
  </si>
  <si>
    <t>Politja GT2 100D (Ø int. 10mm)</t>
  </si>
  <si>
    <t>Corretja GT2 10mm, 348mm</t>
  </si>
  <si>
    <t>Eix 10x100mm</t>
  </si>
  <si>
    <t>Rodes Giratòries Autoadhesives</t>
  </si>
  <si>
    <t>Cargoleria i Fixació</t>
  </si>
  <si>
    <t>Acoblament 10mm</t>
  </si>
  <si>
    <t>Acoblament brida 10 mm</t>
  </si>
  <si>
    <t>Acoblament rodes</t>
  </si>
  <si>
    <t>Barra roscada M8 x 300 mm( 4u.)</t>
  </si>
  <si>
    <t>Paquet d’Inserts de Llautó</t>
  </si>
  <si>
    <t>Cargols (Assortiment genèric)</t>
  </si>
  <si>
    <t>Cargols M3 x 25mm</t>
  </si>
  <si>
    <t>Cargols de ressalt  4 x 45 x M3 x 0,5</t>
  </si>
  <si>
    <t>Femelles M8 </t>
  </si>
  <si>
    <t>Femelles autoblocants M8</t>
  </si>
  <si>
    <t>Materials de Fabricació i Consumibles</t>
  </si>
  <si>
    <t>Estany per soldar</t>
  </si>
  <si>
    <t>Cinta rodes</t>
  </si>
  <si>
    <t>Filament 3D</t>
  </si>
  <si>
    <t>29/kg</t>
  </si>
  <si>
    <t>5 kg</t>
  </si>
  <si>
    <t>PLA Filamento - BCN3D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</si>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</sst>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/>
      <right/>
      <top style="medium">
        <color theme="2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2" xfId="0" applyBorder="1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  <xf numFmtId="0" fontId="3" fillId="0" borderId="0" xfId="1" applyBorder="1"/>
    <xf numFmtId="0" fontId="1" fillId="3" borderId="0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3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es/XL4015-Convertidor-ajustable-CC-CV/dp/B0D9HPY6J6/ref=sr_1_8?__mk_es_ES=%C3%85M%C3%85%C5%BD%C3%95%C3%91&amp;crid=21UOANKXGERNM&amp;dib=eyJ2IjoiMSJ9.GzBSeNhZDLbc83Yx1yskUXd2mMwJ0s8PfHO9OIsm6K-X9mmpv0Iv8y9_sSCBN5IrGvAFknRCvv_FK_gS3Nos9n1ygMMQITbm1loetmQLc1lehFuLFNWmkZs-7ABN5TbszU12M0tSDI3Iqpa5NNp-JdN_82OpQlVP_x_JybLjC7TpH2aMWhMvcKg5HOoK93_eAYm_6waNNbj10eWMzvHcM69dvWPxJ2Gy7esfBOMY7z2ivIe-8nJWfgx1hSXt5MMkmptVGe0VCfTT7h8lu7q3nRkXV605uPV6wgNWr7tHn0s.RMV46D6d6TXsaUsqJ495hVku3N9O0u_gE2Anx7q9vkQ&amp;dib_tag=se&amp;keywords=XL4015&amp;qid=1773339625&amp;sprefix=xl4015%2B%2Caps%2C315&amp;sr=8-8&amp;th=1" TargetMode="External"/><Relationship Id="rId18" Type="http://schemas.openxmlformats.org/officeDocument/2006/relationships/hyperlink" Target="https://www.amazon.es/Silicona-Alambres-El%C3%A9ctricos-Conductor-paralelo/dp/B07QJFRYT8/ref=sr_1_4_sspa?__mk_es_ES=%C3%85M%C3%85%C5%BD%C3%95%C3%91&amp;crid=ZKXGI42MUBE1&amp;dib=eyJ2IjoiMSJ9.vP7l3px8brauKHEWabIqh2q77CwZAs35XFwn2WPsYydTuEa3eBANxFIfE-j4nbaJvrjiOLO4hiU3mHCBwqs2l0qh0No1yehOTHfVfZkfY7WX9efTTh3g-8CW6ceFePIwayQYCUp_mgC-PGQW7ORRgKK9V4Ovb0z8tsBxMqusotn6ZfLQWUZ3kwP36-It7TqIvFScEAZoGkvLtxx82nOG5vyjpicf7MsA5WtSp00fKocFfXIUH6h72YKCa8XoSz5Ls9xbLz1ksKdi1k6NEx1G_DLml8LStbw3OGnxUlfo2mI.TpmT5cZ0XB8pU0tkx73siv9H7aGHJWi_uziEeFn57P0&amp;dib_tag=se&amp;keywords=awg+16+6+metros&amp;qid=1772640640&amp;sprefix=awg+16+6+metros%2Caps%2C264&amp;sr=8-4-spons&amp;aref=wCPkgqRmMG&amp;sp_csd=d2lkZ2V0TmFtZT1zcF9hdGY&amp;psc=1" TargetMode="External"/><Relationship Id="rId26" Type="http://schemas.openxmlformats.org/officeDocument/2006/relationships/hyperlink" Target="https://www.amazon.es/Rodamientos-Cojinetes-Cojinete-Maquinaria-Transporte/dp/B0DJ3G4DZ4/ref=sr_1_12_mod_primary_new?__mk_es_ES=%C3%85M%C3%85%C5%BD%C3%95%C3%91&amp;crid=U1197GUBIDEX&amp;dib=eyJ2IjoiMSJ9._VofQlb7DLg8hdUEGYvQirornVpsYy2Okr0_uWg8gaPulMe64cWN8p06MjGOnvFGGHCqqfndI0a3aIEiRWP8Nv4P_4gNMBB7w90sDSj9MSNLu8lBG-FR68jvbXyZ0n_2f5eBaoQIZnW9HVsJYFNv6Ft3YcQ--LaCsYgm5dMOxyp3qYMNzQSSYNlJglGRfxH3jUyYOhILJtFMKomcr2mnQh-e5yrJGbQMW_izN-nvWfUWCJiELHh47iJslg0ba9lclQfjXtjgBxbK7QjRenmAIepXMIvnhy58Qm7UgG-7ji8.Hb262_inKDn_XF8vurcDxQHs1Gsg6x9CrJ8mzG8I_-Q&amp;dib_tag=se&amp;keywords=cojinete+con+brida+10mm+diametro&amp;qid=1772398309&amp;sbo=RZvfv%2F%2FHxDF%2BO5021pAnSA%3D%3D&amp;sprefix=cojinete+con+bri+10mm+diametro%2Caps%2C278&amp;sr=8-12" TargetMode="External"/><Relationship Id="rId39" Type="http://schemas.openxmlformats.org/officeDocument/2006/relationships/hyperlink" Target="https://www.amazon.es/sourcing-map-inoxidable-industrias-maquinaria/dp/B0FDQ919CL/ref=sr_1_50?__mk_es_ES=%C3%85M%C3%85%C5%BD%C3%95%C3%91&amp;crid=2KFM0XU3WE9NW&amp;dib=eyJ2IjoiMSJ9.70Z1i0LYmOCFDusSWDjtHTtDDZrHWYCkhCd7aFrngSl13elP9TVWeQDferm7DH48dymFw86Ow7V77_u2Zgn3UyM4E5Sr_KzhQsv8U__baMQeAIFhUU5dR4IqxtOGurV5ZE6pkNWGF9WrO-l7HGXNW2Ywy9IoX7eFZKE_Ll2MUeA8LJ66upEV0gexjGgjhUM-ZDMvZgEQZvd9dEvdcX3Iewac1sgD0UmqYK8iN_2hGwx_cSkQmIK0dS5uMy2i8tSNEMvn0asd3oroF-mT9HuoQIj2FgVzzg1352g_HfmOHEk.2HLBTnXng0iz6JJF-IXmW7-Mqlu62UIK7_3QJNUxfd8&amp;dib_tag=se&amp;keywords=tornillo%2Bhombro%2Bm4%2Bx%2B50%2Bmm&amp;qid=1778424820&amp;sprefix=tornillo%2Bhombro%2Bm4%2Bx%2B50%2Bmm%2Caps%2C136&amp;sr=8-50&amp;th=1" TargetMode="External"/><Relationship Id="rId21" Type="http://schemas.openxmlformats.org/officeDocument/2006/relationships/hyperlink" Target="https://www.amazon.es/TECHZOCO-alambre-Prototipo-Raspberry-Breadboard/dp/B0DLR85XS5/ref=sr_1_1_sspa?__mk_es_ES=%C3%85M%C3%85%C5%BD%C3%95%C3%91&amp;crid=36WU915EDAZYT&amp;dib=eyJ2IjoiMSJ9.5qMtyjWwBUh2Mpyy_x0mzAbLl54F_4finROkP7nKIaGgzCbLr-ppskhJvRvOECzjHxMm2OkDKCsSIOlm1YE4A9J7F33Q5ZhWgDjJUjP-RdUg-PkVz9zzCiWfjOGaCg7E_MqbqpKyDtcec8CW2sd1ZHEUQ9Xi_rFoyOTfapyyMN44n891Ou2ZJ8tJqu5cvlRZHORdIKfz0HossCwcuR-B_5aUwsQZ2Hi77WSyn6MOlOONK346eVmrKPlSPV-NAOVfIEZIJNIf5BQjFUWbc1ONbhAvc8C7q20WghUnMBb5H-0.8bc-hsPZuwj1pxPoJ9rGBB0kSnRwApdzp0dLQ3-SNVY&amp;dib_tag=se&amp;keywords=Dupont%2Bmacho%E2%80%91hembra&amp;qid=1777912677&amp;sprefix=dupont%2Bmacho%2Bhembra%2Caps%2C110&amp;sr=8-1-spons&amp;aref=qz43jKcfdK&amp;sp_csd=d2lkZ2V0TmFtZT1zcF9hdGY&amp;th=1" TargetMode="External"/><Relationship Id="rId34" Type="http://schemas.openxmlformats.org/officeDocument/2006/relationships/hyperlink" Target="https://www.amazon.es/dp/B09XMC7YMY/ref=cm_cr_arp_d_btm?ie=UTF8" TargetMode="External"/><Relationship Id="rId42" Type="http://schemas.openxmlformats.org/officeDocument/2006/relationships/hyperlink" Target="https://www.amazon.es/HUAREW-HR990307-alambre-soldadura-colofonia/dp/B08CRNHLKV/ref=sr_1_3?__mk_es_ES=%C3%85M%C3%85%C5%BD%C3%95%C3%91&amp;crid=16F71YVSI44ML&amp;dib=eyJ2IjoiMSJ9.jDABxqLOI5olZc4oT7sEEgXizovuJF1MgpyGHr0z7s9Xo1FrA4ruksbtCLXrV0SNJjUMk7v468BDOY-l9MIFU8yPsvLHWqVrtasqNhBSu7rYYDKs3zNoYGzJa9tyNMwXVjjsH_KecasKdPbbgV5oAtx8uFYN_l41W7rJVqMYctc0NbZ-MDJtR_e_N622X9qGA51ErTCnFPgdaNCfl5FiPwzk7AJ9n1LMUcD36OipZFWPXG3EsqAK2j3i8vC8EZ3ulZRWAa9C2FAFq_0QiM6CJ3_OOx397al4DK701BTtUu0.tKclOiY-4fVeY5nVer1_ZiqhFXxeXq8lqJAzAr8wqcM&amp;dib_tag=se&amp;keywords=esta%C3%B1o%2Bpara%2Bsoldar%2B60g&amp;qid=1773341008&amp;sprefix=esta%C3%B1o%2Bpara%2Bsoldar%2B60g%2Caps%2C238&amp;sr=8-3&amp;th=1" TargetMode="External"/><Relationship Id="rId7" Type="http://schemas.openxmlformats.org/officeDocument/2006/relationships/hyperlink" Target="https://www.amazon.es/STEPPERONLINE-Nema-23-Motor-bipolar/dp/B00PNEPI0A/ref=sr_1_7?__mk_es_ES=%C3%85M%C3%85%C5%BD%C3%95%C3%91&amp;crid=39AMJS64MBAG&amp;dib=eyJ2IjoiMSJ9.Ts7pCl0zDM9DnAo-MoHtNIF0P_-WETMEi48Z9UkT_6y6VQweYLzQbGM-svWSjDmgPBReJnhjW-kLcE52tA15a0PdcLKg2fidlt2Zcc4mXLQc2sqg4RLJkoajHSu4TgWJwugZPBI-1DKxOSigLaO1tSNElfCGx_CUOKhCUiKqR876glUIMVl3Xpfkd6lVaEMItnxNMsSWuqL8koaRKL9F2RZcAPHAX8ihvt2oJqFui2vzaOpEc0dfjJ9O4GJ8y_CdNOIBUs0jFjTtlGp71nrnJvJKsOqtXvS29DyXUln1-yE._44NqnnUvAJ_cVkzPgQa_uU_qZLzTwzwM2xaMd2ucHE&amp;dib_tag=se&amp;keywords=stepper+motor+5+N*m&amp;qid=1772126221&amp;sprefix=stepper+motor5+n+m%2Caps%2C254&amp;sr=8-7" TargetMode="External"/><Relationship Id="rId2" Type="http://schemas.openxmlformats.org/officeDocument/2006/relationships/hyperlink" Target="https://www.amazon.es/-/en/SanDisk-Ultra-microSDHC-Adapter-100MB/dp/B08HVWJM8C/ref=sr_1_5?crid=YQZJ2NTX8PKT&amp;dib=eyJ2IjoiMSJ9.ggeRPD8ChcDADbOvsJ7bpDqLOohSbGVrZ9QsuCOQv01rNpLq_HzXKIY0oUUjFNtDgkykVseC_twc-vPogJ6ZT50MTuQf0b8rjS4-wW3rZnLtqc17f0sDgUWuh6nmiSb8-j3Ubj-ANh0dqGED6_5XxWODZrLFKhxMZETJJjH-cghFH3iq7Y8qJlKqB312r6wh6edqPs73Ul90vVNIUXyAvVnf_FkLngA28uv4G0AgtzX9BQa6eTRtlm3QAlXmqhevRhKQRMbBYQT0sQ3nL0FHULedd7RNrs8sJzB_mx0mww4.JK1dRfgipCmbT4pgI7y0_qxrYVJ26KtAVN_Nx65QY18&amp;dib_tag=se&amp;keywords=microSD+SanDisk+Ultra+32+GB&amp;qid=1777479773&amp;sprefix=microsd+sandisk+ultra+32+gb%2Caps%2C129&amp;sr=8-5" TargetMode="External"/><Relationship Id="rId16" Type="http://schemas.openxmlformats.org/officeDocument/2006/relationships/hyperlink" Target="https://www.amazon.es/Cargador-bater%C3%ADa-B6-Adaptador-Plomo-%C3%A1cido/dp/B0F2H3XR6S/ref=sr_1_4?__mk_es_ES=%C3%85M%C3%85%C5%BD%C3%95%C3%91&amp;crid=34QU7DV7X0QA6&amp;dib=eyJ2IjoiMSJ9.KAsNrUN67640EG9HqJrkn6yqYWRXHAOb9BxAVtkPL_BzVbrVYj5K7nErZh-SQEAHJJ0xvv7eZeF7r8bB2UqsJau7kUveT0RvCgsVCVXEm8pNF81T87I1CrQKyGfpChG7NxtWqtfnr77rlA2XTqMChDy1HUaN-BWHk9ihlw2-99ERXOHI0TadFKy06IFCsDjqxT2_BaP3PRVWpKyndnPf7s-XxUzTubW9jKTur-dyooENB04S-Id5cRNvN8JouNB83me1gTX4tMPa-PvNRGKYlKSVpAwMB42EwK9dw-I0icA.VnUBY1GjkH2FTiguCAqfhFO3OSmbnZQjFquz7N6_mEE&amp;dib_tag=se&amp;keywords=iMAX+B6AC+V2&amp;qid=1773171462&amp;sprefix=imax+b6ac+v2%2Caps%2C272&amp;sr=8-4" TargetMode="External"/><Relationship Id="rId20" Type="http://schemas.openxmlformats.org/officeDocument/2006/relationships/hyperlink" Target="https://www.amazon.es/URCIANOW-El%C3%A9ctrico-Conductores-trenzado-esta%C3%B1ado/dp/B0CH9X7X6L/ref=sr_1_9?__mk_es_ES=%C3%85M%C3%85%C5%BD%C3%95%C3%91&amp;crid=14APP7FNL1Q6G&amp;dib=eyJ2IjoiMSJ9.JvbHsujQ_md5chX8gHzWCnLXvJZUqiJ7IIigKGO4AqEmifu8u5SirynUnfrhU66gWz06gIEFLzrhYw2fC7AiqEniixEKF62KCilZWUH7bHH5rQfwzTxVc3G-L70oXNOxGB1N_7y63lYDyxJGNuCOcxMzepcZFYNpnggWvth3ySdcphrnSsLqZASm6oS-8p8-cUnOTrmSw_DS39Glt2200Q7rYj7Yj9XxOSt8UEOXVh-TLcWQZR5uCvVhuowxcG9_n7dVuB5HErIcV9mrSfvnCrEeZMj-CRPJwzu2TsdV-oc.YAlltGFh0BtIacObRZ1mYc5ur0eWEd8aQsNaEnldJm0&amp;dib_tag=se&amp;keywords=awg%2B24%2B10%2Bmetros&amp;qid=1772640679&amp;sprefix=awg%2B24%2B10%2Bmetros%2Caps%2C276&amp;sr=8-9&amp;th=1" TargetMode="External"/><Relationship Id="rId29" Type="http://schemas.openxmlformats.org/officeDocument/2006/relationships/hyperlink" Target="https://www.amazon.es/Turmberg3D-Correa-dentada-cerrada-GT2/dp/B09B2GK13C/ref=sr_1_9?__mk_es_ES=%C3%85M%C3%85%C5%BD%C3%95%C3%91&amp;crid=9UAXN9JPFX74&amp;dib=eyJ2IjoiMSJ9.KeGHHfc1T5HJXYM-cBwjWIA3dlDXBtfZtcFsRs5RbE2GCRk0HzYLcfyDepjug15_Azp6Vbs0ZdnudkBRA7v8beQYKtyOJhdO88CQY_kk57437X77tf8v1dqbK6q7JcNFgUF7fuEfLAsLkh1fA_muELgWRlYT2OH9lcr-v8JBbv2CbXSQkbg--GD33i9VE5qJivKzBXx4OBmU8FLP-5NXHkgdBb9_wbhS9FO-M2V4Xms1OQWKwnXBA5QFdOv1FmVZ4ir_FtFTeIEhPrisdjJ5cPJtReyXH64ODZZv8ToWE_Q.G4VExiWJ0_eIu9SKKodH_Tx0lc5X4m7UDDuQfz0VY4c&amp;dib_tag=se&amp;keywords=correa+GT2+poliuretano+10mm+ancho&amp;qid=1772234622&amp;sprefix=correa+gt2+poliuretano+10mm+anc%2Caps%2C281&amp;sr=8-9" TargetMode="External"/><Relationship Id="rId41" Type="http://schemas.openxmlformats.org/officeDocument/2006/relationships/hyperlink" Target="https://www.amazon.es/dp/B0FV3MFBQG?ref=ppx_yo2ov_dt_b_fed_asin_title" TargetMode="External"/><Relationship Id="rId1" Type="http://schemas.openxmlformats.org/officeDocument/2006/relationships/hyperlink" Target="https://www.tiendatec.es/raspberry-pi/gama-raspberry-pi/1100-raspberry-pi-4-modelo-b-4gb-5056561800349.html" TargetMode="External"/><Relationship Id="rId6" Type="http://schemas.openxmlformats.org/officeDocument/2006/relationships/hyperlink" Target="https://www.amazon.es/Digitalkey-completo-pulgadas-cuadrado-frecuencia/dp/B0GL36Q9HS?source=ps-sl-shoppingads-lpcontext&amp;ref_=fplfs&amp;psc=1&amp;smid=A1YW8TRQ95RADD&amp;utm_source=chatgpt.com" TargetMode="External"/><Relationship Id="rId11" Type="http://schemas.openxmlformats.org/officeDocument/2006/relationships/hyperlink" Target="https://www.amazon.es/COVVY-TB6600-Controlador-segmentos-Conductor/dp/B07SBZ9SM5/ref=pd_lpo_d_sccl_2/257-6446781-1650629?pd_rd_w=7sP1p&amp;content-id=amzn1.sym.dbff13a3-ec7b-4ab4-a8ad-e4356fa2bfdb&amp;pf_rd_p=dbff13a3-ec7b-4ab4-a8ad-e4356fa2bfdb&amp;pf_rd_r=34S7RZDA7FW9SGHK5GE7&amp;pd_rd_wg=IoRnK&amp;pd_rd_r=4987fb30-2db7-4ed9-9a11-42898d4936f4&amp;pd_rd_i=B07SBZ9SM5&amp;psc=1" TargetMode="External"/><Relationship Id="rId24" Type="http://schemas.openxmlformats.org/officeDocument/2006/relationships/hyperlink" Target="https://www.reichelt.com/es/es/shop/producto/raspberry_pi_-_cable_de_alimentacion_usb-c_max_5_a_1_m-405496?country=es&amp;CCTYPE=private&amp;LANGUAGE=es" TargetMode="External"/><Relationship Id="rId32" Type="http://schemas.openxmlformats.org/officeDocument/2006/relationships/hyperlink" Target="https://handsontec.com/index.php/product/shf10-horizontal-linear-shaft-holder/?utm_source=chatgpt.com" TargetMode="External"/><Relationship Id="rId37" Type="http://schemas.openxmlformats.org/officeDocument/2006/relationships/hyperlink" Target="https://www.amazon.es/tornillos-hexagonales-arandelas-roscados-Phillips/dp/B0B42DJPHZ?pd_rd_w=bmill&amp;content-id=amzn1.sym.b81adfe2-eaac-4c2e-a678-07d2f7fdc9fb&amp;pf_rd_p=b81adfe2-eaac-4c2e-a678-07d2f7fdc9fb&amp;pf_rd_r=CY055Q7VG8WHHX7FEPQE&amp;pd_rd_wg=agjyf&amp;pd_rd_r=c74e3aa1-7dad-4a0a-9522-9717f4a376fe&amp;ref_=sspa_dk_detail_sbt_img_0&amp;sp_csd=d2lkZ2V0TmFtZT1zcF9kZXRhaWxfdGhlbWF0aWM&amp;aref=tkPnxw8KF2&amp;th=1" TargetMode="External"/><Relationship Id="rId40" Type="http://schemas.openxmlformats.org/officeDocument/2006/relationships/hyperlink" Target="https://www.amazon.es/GUEEYUAW-Piezas-Tuercas-Hexagonales-Inoxidable/dp/B0FHBH3MD1/ref=sr_1_3_sspa?__mk_es_ES=%C3%85M%C3%85%C5%BD%C3%95%C3%91&amp;crid=1MS6VIWA6YPOT&amp;dib=eyJ2IjoiMSJ9.dJXlGqNZ6C_bMqLNDuVNgfOoERIX3PLS2LhwqDvuCbU5en3lOwZbWzT9OyjdVzt1B3Y5TjQaV3iWFOPIvwAXERLfiFVUiYKx0ZyvywrFgp1HfeHd0Yx2-d1SeBXGdOjtm4WthFZi-SyZOImFRqbk5-_gi38FwExaSRddyOFtBGT_yf6K0twm9l_o104KSvPcuKzNckmkndVZTGuaMRcH9rs8enC_Xi8JoHHAt9zP2sBplO_jnsJQjKaWGFXkYiNqnMmTkdlDcZNET6emmKNfL3dHKq0_MsfLVuLxRJk2l_s._aPYXoDtphVrdBYJGBG8-ql1IHHI-rqALlZxOFc5nak&amp;dib_tag=se&amp;keywords=tuercas%2Bm8&amp;qid=1778088997&amp;s=industrial&amp;sprefix=tuercas%2Bm%2Cindustrial%2C267&amp;sr=1-3-spons&amp;aref=k1OKekXzsI&amp;sp_csd=d2lkZ2V0TmFtZT1zcF9hdGY&amp;th=1" TargetMode="External"/><Relationship Id="rId5" Type="http://schemas.openxmlformats.org/officeDocument/2006/relationships/hyperlink" Target="https://www.mouser.es/ProductDetail/Seeed-Studio/110061601?qs=efUn273yAhcPxUjBpI0kHA%3D%3D&amp;mgh=1&amp;vip=1&amp;srsltid=AfmBOoo9pKXnaDGRp6jgR3azF5Pb1fxy_m1N4ASDzM7-KxMf7EVaF4G7Kk4" TargetMode="External"/><Relationship Id="rId15" Type="http://schemas.openxmlformats.org/officeDocument/2006/relationships/hyperlink" Target="https://www.amazon.es/DXF-14-8V-Bater%C3%ADa-6500mah-Conector/dp/B09KP6T2RC/ref=sr_1_9?__mk_es_ES=%C3%85M%C3%85%C5%BD%C3%95%C3%91&amp;crid=2R19I50C70LK7&amp;dib=eyJ2IjoiMSJ9._7wxe-dfsWjP82dLC6CXg615fyzpA79EkGZQnKP7WUiEB50oOtfOwoJcwBjaeNvcxQ6jCkWiZjM9XLuFpaRVjTRVYjmana1A-dE3Dls_xrXThl5OqRlXMdJpRW8aURZEiRk_ddmNMfwvd9R_uCpm_y760wVhbVpjxetGRI0FfTv8d5dO58yTzu7w_DQxvu3aReOn4oZqeKJ-IGClHuziIxRpheTXCyeZOTqVwHrEWpgyiIJMbyc5kCVvHsyjCQtvhJCL5-cOORK9pu81RvlUVCb6EeTdBAaNtAD_kuTJTeY.LNvuJ7MJTHqVm5dew6XxBfKZb5E3K0Tsjh0Yd7NVHCk&amp;dib_tag=se&amp;keywords=bater%C3%ADa+lipo+4s&amp;qid=1773244660&amp;sprefix=bater%C3%ADa+lipo+4s%2Caps%2C279&amp;sr=8-9" TargetMode="External"/><Relationship Id="rId23" Type="http://schemas.openxmlformats.org/officeDocument/2006/relationships/hyperlink" Target="https://www.amazon.es/deleyCON-Printer-Printers-Scanners-Braided/dp/B0DGW5V48J/ref=sr_1_1_sspa?crid=28BVYB9Z5LA4Q&amp;dib=eyJ2IjoiMSJ9.L-UEsjklx3tUzOdsnCJEpYTyjm5IGvubJk9_-yDjhzkWC3YLbS8pWbFHALRmdBVH1MnUm2qH8HN-21LavudZ1IxpnW-Tw0DVQgn3JahgwVaaug2IYj3kiI94mULa_fII1kFyRntzQaGulzoTr55tSF-UJzgPDO8aslHqWQLzi7lTggOV479dWe2rYHshXdzE7RTLm58ZEbk2CHyI7dsIkXW357DjTJK0zy9WnMqrgZ736mImC24rxp7kaWBujvntnR3pWYQ_cbt4rLldwtjMjBKyv-p4GRKShpN5yA8pvFI.Wxw46rhhjJDIDVxVPqYgspqb7pndnBdHty1i6zECcv0&amp;dib_tag=se&amp;keywords=cable%2BUSB-A%2Ba%2BUSB-B%2B1m&amp;qid=1777902877&amp;sprefix=cable%2Busb-a%2Ba%2Busb-b%2B1m%2Caps%2C138&amp;sr=8-1-spons&amp;aref=RZYEU1OTpi&amp;sp_csd=d2lkZ2V0TmFtZT1zcF9hdGY&amp;th=1" TargetMode="External"/><Relationship Id="rId28" Type="http://schemas.openxmlformats.org/officeDocument/2006/relationships/hyperlink" Target="https://www.amazon.es/dentada-distribuci%C3%B3n-di%C3%A1metro-s%C3%ADncrona-impresora/dp/B0D3CDWB7C/ref=sr_1_8?__mk_es_ES=%C3%85M%C3%85%C5%BD%C3%95%C3%91&amp;crid=1XZJQK4F575W6&amp;dib=eyJ2IjoiMSJ9.YJQqPGtbHUxD8vLd_5DZk7tXoIp961D-QkkuB9CGPPlVl6Y155J1VhlAk6X656lQN9Ljl-Wer58lz8DgQ8a2XAPO35wlf-SVPbNsAeKm1RWguWPJUbLE9lv9IcHBxgZiZ-TUIV_SFzEIqTu_ETINCIDQ2CM68cnppU7tLLkNRXHiT-VZ18hpl38FKI5bAhIxDl3KGRk-FIQ0bAw4tD0mVizgy_SSG1z-N-OP2R1fgQGfZnxrWNw8GiprCbyJz8LQVLCfj2LigQbaqDRFfZ8mMDpCeDERG-N82gJz8QfeObE.OOrMJDmGNzUGIEjCoTWZam-4ePAJ4E1YlfNqMMeVB1E&amp;dib_tag=se&amp;keywords=polea%2BGT2%2B100%2Bdientes%2B10%2Bdiametro%2B10ancho&amp;qid=1772233521&amp;sprefix=polea%2Bgt2%2B100%2Bdientes%2B10%2Bdiametro%2B10ancho%2Caps%2C271&amp;sr=8-8&amp;th=1" TargetMode="External"/><Relationship Id="rId36" Type="http://schemas.openxmlformats.org/officeDocument/2006/relationships/hyperlink" Target="https://www.amazon.es/dp/B0FQ2J8FX7/ref=sspa_dk_detail_1?psc=1&amp;pd_rd_i=B0FQ2J8FX7&amp;pd_rd_w=xVwvk&amp;content-id=amzn1.sym.0c640cbd-b6e0-461d-8cfc-a8934b5122df&amp;pf_rd_p=0c640cbd-b6e0-461d-8cfc-a8934b5122df&amp;pf_rd_r=YPPGQS58E9CBTKS706ZX&amp;pd_rd_wg=NixEG&amp;pd_rd_r=5db15c8d-09ab-4f44-a37e-e64fad4f1c74&amp;aref=3WEpV6r98c&amp;sp_csd=d2lkZ2V0TmFtZT1zcF9kZXRhaWw" TargetMode="External"/><Relationship Id="rId10" Type="http://schemas.openxmlformats.org/officeDocument/2006/relationships/hyperlink" Target="https://www.amazon.es/Miuzei-Servomotor-Accuracy-Airplane-Helicopter/dp/B0C1TXW74L/ref=sr_1_4?__mk_es_ES=%C3%85M%C3%85%C5%BD%C3%95%C3%91&amp;crid=1O4G8SQQSP1U6&amp;dib=eyJ2IjoiMSJ9.5o1ojOaWrFBXL-RGM5hZBDeKf_hC156UYSsUPOXbpXQuXCrbGJDokiVB-0oPS-yi2ybX9Jw0vjUPEvfSQ6fySjdAQ5B0QzVxaSbo917sj9CkgzWSjcDvLa9zjYvpuaSMZdMzUsDzDUrDbEEcz1Z3fDOSl5ueEAbyGF7RDf9_UhwU3ujQWcrWt-iZ1WB48gmyiZzwGm-XLtXOALYOtFxfwK4VdWXe2clULw8DC6RIf3_wLsexWBVpUKYagw7a1d2e25CaMC4z52-QfGHAJKFLB6aqPGEZ__xLgeZvceHvpzg.2jCjompSFZOr0e1gnvI4FZNSfmS3vaBmZaUJjdNC7yE&amp;dib_tag=se&amp;keywords=MG996R&amp;qid=1773250210&amp;sprefix=mg996r%2B%2Caps%2C378&amp;sr=8-4&amp;th=1" TargetMode="External"/><Relationship Id="rId19" Type="http://schemas.openxmlformats.org/officeDocument/2006/relationships/hyperlink" Target="https://www.amazon.es/MMOBIEL-AWG-Cable-El%C3%A9ctrico-Paralelo/dp/B0DGV6793J/ref=sr_1_2_sspa?__mk_es_ES=%C3%85M%C3%85%C5%BD%C3%95%C3%91&amp;crid=32HNB5XZF41XX&amp;dib=eyJ2IjoiMSJ9.gt22szl_18Glurg4U1DQtB7Fig60J9yr2qM0TybBVoLC9mYfq7UVUwDNh24d9BJdvtc607118ZFH_6Dt2914eMKf4s1hM-mA-_ecfSIa7QIBIzOv4qkWJeiFvn5OMLRY-nUZ2iLj_fuXMa3GcYc29WILBP7SZXwmHNTAbu2UvlgztMLtt49wDSHkyTUJiVE_JJ-wxFh1QDg9-ljfYYCjUWLtGnGkELstMrEkRbHLRmyY5QNDxnniK1g6xkpuex0w4jFNJ1ctR4OSRUKgbJqdJkxtgc9oPwHKo-gNyL0k-Q0.vY51qI8JGy--Nfh5tPCP9lW8MmAfxhaNRTH4bwZ49So&amp;dib_tag=se&amp;keywords=awg+18+10+metros&amp;qid=1772641111&amp;sprefix=awg+18+10+metr%2Caps%2C268&amp;sr=8-2-spons&amp;aref=p6gYwqe8e7&amp;sp_csd=d2lkZ2V0TmFtZT1zcF9hdGY&amp;psc=1" TargetMode="External"/><Relationship Id="rId31" Type="http://schemas.openxmlformats.org/officeDocument/2006/relationships/hyperlink" Target="https://www.amazon.es/Flintronic-Giratorias-Autoadhesivas-Tornillos-Adhesivos/dp/B0DXB4NJPG/ref=sr_1_10?__mk_es_ES=%C3%85M%C3%85%C5%BD%C3%95%C3%91&amp;crid=1H4IVK2UVBUOD&amp;dib=eyJ2IjoiMSJ9.2LOtwuqUbpuGL6mM0iKvud-uzkXxBtKQNKWizltYesmDgKqHMQLcUV_OJIaa2SikH4fMcLuf3B1dhRewYMwIlPlEfmJd_WEqudmQx_UwUYrGHQAwWNPrDDrFldZmNrfYJPW3zZXO7c5YdNHm9dBzcsIAWYZudxZAnoputiLKSIjz3-4ejqtMS_AhOXMQERcYZayDZuT4sa2fcqYqzuAekBccBI_39MnCBUaFLLWi3TP0I-2_l-XnaBOyMSgialUvNH5qjLThfdsmYeQEBOu5zaoE7xBCnMCnTrNpWTOvD50.WLbNk5KoGALG3mRA8qXk8v12_fiM8nIO5eitVv8wlGY&amp;dib_tag=se&amp;keywords=rueda%2Bloca%2Bpeque%C3%B1a&amp;qid=1779815376&amp;sprefix=rueda%2Bloca%2Bpeque%C3%B1a%2Caps%2C98&amp;sr=8-10&amp;th=1" TargetMode="External"/><Relationship Id="rId4" Type="http://schemas.openxmlformats.org/officeDocument/2006/relationships/hyperlink" Target="https://www.amazon.es/-/en/Waveshare-Development-Resolution-Dual-Core-Processor/dp/B0FQ58T5VS/ref=sr_1_9?crid=1Q1AXV57I0IT8&amp;dib=eyJ2IjoiMSJ9.nBFxWlhU1VXDN9ZHaSvl6WtuhVpRQag5EgmVtFnjz36bUjpcCGn2YW3zu_x6-xbX9eFt1EnyLcY3OBOZ3YWCQmQ-AhG-zshT3fdodALwC42SPA-xdnlUKaBg2Pvo5oehZ2z8gYJlJFPi8aB_A0h1oCFM-88M85_0xnk8GdwWMChAZULoFI-kfNDM2VEVsjSLUDKqJLG0eu_kxRhWWIY3zVHk5Gpcd7p1Wp8CkUUYmEPi-vurYfdN9qva6lSAMVODygUXOIfuuwyEXzepyEpXvFWaQ0Gl_FtlmgQ5AGg97Uo.6KLyYAmABPy2NDCb5-K9UePUeo-wy8sPolrBFWPpLbY&amp;dib_tag=se&amp;keywords=Waveshare+ESP32-S3-DualEye-Touch-LCD-1.28&amp;qid=1777480059&amp;sprefix=waveshare+esp32-s3-dualeye-touch-lcd-1.28%2Caps%2C140&amp;sr=8-9" TargetMode="External"/><Relationship Id="rId9" Type="http://schemas.openxmlformats.org/officeDocument/2006/relationships/hyperlink" Target="https://www.amazon.es/ANNIMOS-Direcci%C3%B3n-Digital-Engranaje-Inoxidable/dp/B0C69BXL6V/ref=sr_1_1?__mk_es_ES=%C3%85M%C3%85%C5%BD%C3%95%C3%91&amp;crid=1NAVYINFGZK55&amp;dib=eyJ2IjoiMSJ9.75vLvLrdsv_yiGCCxUzfo6gcEaAiZutLU0l49dVNfGy-WsQQHjTH3BNOWyiMjMB6uejQWV1l2_YzmGzH_NNNJH0VR6JnazZRIp_s82YvGWPUWDMKGk_dGjNDxJnaLyX-Baw1TcpCZYng-Yxzbxc6evLTu-tgsNSgkyBI5wZMzdHI4wfhG3vAC9PcBIvlLVWe2tMdf464osis7GtjyXWIM7Enjagt0axiHT-mNYo65I_ZJCtvkwaUQPQD07L5Nl1Ns2zsm-vJkZG3oKtXDf0qbD2MusDHppehKxBm4QNvDzk.do677abRl1KiL3EU3OoIsmbNcrnFEuChqPYWcbm04tk&amp;dib_tag=se&amp;keywords=servo%2B45%2Bkg%2Bcm&amp;qid=1772212379&amp;sprefix=servo%2B45%2Bkg%2Caps%2C297&amp;sr=8-1&amp;th=1" TargetMode="External"/><Relationship Id="rId14" Type="http://schemas.openxmlformats.org/officeDocument/2006/relationships/hyperlink" Target="https://es.aliexpress.com/item/1005008564508622.html?src=google&amp;src=google&amp;albch=shopping&amp;acnt=439-079-4345&amp;isdl=y&amp;slnk=&amp;plac=&amp;mtctp=&amp;albbt=Google_7_shopping&amp;aff_platform=google&amp;aff_short_key=UneMJZVf&amp;gclsrc=aw.ds&amp;albagn=888888&amp;ds_e_adid=&amp;ds_e_matchtype=&amp;ds_e_device=c&amp;ds_e_network=x&amp;ds_e_product_group_id=&amp;ds_e_product_id=es1005008564508622&amp;ds_e_product_merchant_id=109253881&amp;ds_e_product_country=ES&amp;ds_e_product_language=es&amp;ds_e_product_channel=online&amp;ds_e_product_store_id=&amp;ds_url_v=2&amp;albcp=20546371357&amp;albag=&amp;isSmbAutoCall=false&amp;needSmbHouyi=false&amp;gad_source=1&amp;gad_campaignid=17348793017&amp;gbraid=0AAAAACbpfvaL7Fek5vg2RAPLyjOYwGtHH&amp;gclid=CjwKCAjwxITRBhBYEiwA6mZm7VPhwLFebUs8fhfjOcVFU8St_FXbXQYQ0A1LOzbl2HOR7HhIQZsHlhoC6mQQAvD_BwE" TargetMode="External"/><Relationship Id="rId22" Type="http://schemas.openxmlformats.org/officeDocument/2006/relationships/hyperlink" Target="https://www.amazon.es/deleyCON-USB-USB-C-Cable-5Gbps/dp/B0GVKJJ3QN/ref=sr_1_1_sspa?crid=1495XQPF2N960&amp;dib=eyJ2IjoiMSJ9.j4q9g17WbqLO_SgvhlZt8K2_5FEvFHzKwXYJjlDQKxgdhksILQF_-uBiI7kLNoF2Vp784FV4vEsH8EKi98RK1dVHOlUlAoDfBCWLLnzm2ZVbSwsv86y_hM6G5FZAT2HZiznnfO-YQ7ZMccyP_xa1v3HCiP_VBn0f2fUGMVQ08kUY_ojlqAth0b8U-qTI_yDLqxC_S7z41erjjDGQ-a6V2NMC4ZAoguNfpbV2opIstTEYIgbVe8DKpSlapXjkXqVKWiN2BahXnA3T9SgQQ2gxnGwv-52Ny_hTn0iD4OcwzJs.J5e306NLUrZWl-k1b5xGAOJJuuSKGPzsMqyLU7INVyM&amp;dib_tag=se&amp;keywords=cable%2BUSB-A%2Ba%2BUSB-C%2B1m&amp;qid=1777902807&amp;sprefix=cable%2Busb-a%2Ba%2Busb-c%2B1m%2Caps%2C148&amp;sr=8-1-spons&amp;aref=oh9BHXtS9Z&amp;sp_csd=d2lkZ2V0TmFtZT1zcF9hdGY&amp;th=1" TargetMode="External"/><Relationship Id="rId27" Type="http://schemas.openxmlformats.org/officeDocument/2006/relationships/hyperlink" Target="https://www.amazon.es/Alamor-Sincronizaci%C3%B3n-20Teeth-Di%C3%A1metro-Impresora/dp/B076P75NGK/ref=sr_1_17_sspa?__mk_es_ES=%C3%85M%C3%85%C5%BD%C3%95%C3%91&amp;crid=25SA684M1KGEP&amp;dib=eyJ2IjoiMSJ9.fqOtoUtbzrvLnwgGY91rC-DzKLj209VqcNLDP35zdCkRbv0AOjJCcJvLt0BoPoUOGOYe3pe8fLMHB4NI5d1g2l7em6AYNG5rzwdKZvmBsqupKPTxku9gJqbN8CVBqIuxRA4HvSAG1HXFd1VejTW_sbf2zxtuu0OMJMiJ6ZM9vkyw35sUWHPTGeGjQnaxZFGmpyUguNuManw3HhjjF0otpa5KYrdr8PNeiVTgT4hoIPmFDVl3C2Hxw0p94vCtHS5B403B3OEyRk8PEE9ZJJyx5Qz427UmS2h9ITJp0kJVIN0.Q6pU3W6Sx_5vOrpkQJAZYnu6FgwyhA6RciLvVltGN1Y&amp;dib_tag=se&amp;keywords=polea%2BGT2%2B20%2Bdientes%2B6.35%2Bdiametro%2B10%2Bancho&amp;qid=1772380539&amp;sprefix=polea%2Bgt2%2B20%2Bdientes%2B6.35%2Bdiametro%2B10%2Bancho%2Caps%2C274&amp;sr=8-17-spons&amp;aref=fgGqe2XHRp&amp;sp_csd=d2lkZ2V0TmFtZT1zcF9tdGY&amp;th=1" TargetMode="External"/><Relationship Id="rId30" Type="http://schemas.openxmlformats.org/officeDocument/2006/relationships/hyperlink" Target="https://www.amazon.es/unidades-horizontal-precisi%C3%B3n-rodamiento-redonda/dp/B0D2L12GW6/ref=sr_1_6?__mk_es_ES=%C3%85M%C3%85%C5%BD%C3%95%C3%91&amp;crid=38IR83Y0ZHELK&amp;dib=eyJ2IjoiMSJ9.e9DNp3XJHUWrVfoh32lynL2cF2TqlxoXyzoT6-pZiTIPHpiNlSX5PSb6eMogQaTyun0NEpa2sk4q7PX7QElB4UEiJukxZ6LWhgJ8U6jE8SR21O-edOkC5lgpVBPAZIALCihc7RUPAFPNCbobRhlKN-n33tHtI2EVTDoJ4ee6mzuhIo36mhzjswOo7UbiwP1onFxcY5USGs2ui9XkUum23B1c8pWtpEO0ZO0MwMJ3SjPC8GHeCvCh4lu2dDNIgM4OSiU6JlVJVc-KpfYqCBfot1Pw6XQP_91d65Zqn2ROcfA.hxOTZ53amvWPkfTPDZzggV5i9ijoM7P5BRR6WTEnGDw&amp;dib_tag=se&amp;keywords=shaft%2Bclamping%2Bhub%2B10mm%2Bdiametro&amp;qid=1772571849&amp;sprefix=shaft%2Bcamping%2Bhub%2B10mm%2Bdiametro%2Caps%2C262&amp;sr=8-6&amp;th=1" TargetMode="External"/><Relationship Id="rId35" Type="http://schemas.openxmlformats.org/officeDocument/2006/relationships/hyperlink" Target="https://www.amazon.es/Varilla-Roscada-Acero-Inoxidable-M8x300mm/dp/B0H9S17NXH/ref=sr_1_2_sspa?__mk_es_ES=%C3%85M%C3%85%C5%BD%C3%95%C3%91&amp;crid=3QTOQI6E8KKCZ&amp;dib=eyJ2IjoiMSJ9.l0gPAMIRtpdpcJQ8lqbWVIxD2O4odbdFLW6HVwGB5ChHfcVNpH9fhyg30tRiZljEeNQ11EWkFZgsr5GnTuyfa7NvP4yNDvCVqMxQnRXYvdhJpJdnGYX7HqCCcL3SldIkGSyqS_BLUDPbk8Wf_SCIP35J5A7rqRFhd_kjn4IMidvUesvRr5Tsc2t3Rs-vo9ODT8NmU-lFzq3LcU-Oh4EpcDDz_FbVFq3Cre0dWgP0JJBS0Gv31VbJtLBtZq9dyz2kauWydGQm00ds_1QMUdfhDim0uGAUgY77CFExo63LcEk.h1ocKGza9NxSOpV_kDIYiy0sweXXUcQzR25KZ786B30&amp;dib_tag=se&amp;keywords=Varilla%2Broscada%2BM8%2Bx%2B30%2Bcm&amp;qid=1789916185&amp;sprefix=varilla%2Broscada%2Bm8%2Bx%2B30%2Bcm%2Caps%2C103&amp;sr=8-2-spons&amp;aref=fTvtwOSvrc&amp;sp_csd=d2lkZ2V0TmFtZT1zcF9hdGY&amp;th=1" TargetMode="External"/><Relationship Id="rId43" Type="http://schemas.openxmlformats.org/officeDocument/2006/relationships/hyperlink" Target="https://bcn3d.com/es/producto/pla-bcn3d-filamentos-2/" TargetMode="External"/><Relationship Id="rId8" Type="http://schemas.openxmlformats.org/officeDocument/2006/relationships/hyperlink" Target="https://www.amazon.es/Stepper-Bipolar-4-lead-Printer-STEPPERONLINE/dp/B00PNEQKC0/ref=sr_1_4?__mk_es_ES=%C3%85M%C3%85%C5%BD%C3%95%C3%91&amp;crid=3K700F6LEL3PR&amp;dib=eyJ2IjoiMSJ9.0_a3jemBSDbXWt4r_VssBuNCpYJdWJFrufojyjgjzYAWspSp_8HuIhZ45bpcP5aCtLTv8K0kXwvSgRRpTr6j6G8bjA553D1AtdgSwUFNmy-vnaGgOwfhD945-3vfY1HARI7p1wdAheOLhNN8vkGHZ5cyFDLpLjULZsoZjTr7tD0NAn6rG3zieKDB1azH9Dc_l2SKZGpYGYrodGKYCAzl9NzVkFuq3B1gwsj3Pq29ZC1oAI7ohuFPguT9LepgTjyzQeG41c14KgHpTZH_KH8OaVyd8rtsFJehN57c7oRyrYY.7vslUAyPxxz4IkleTOBSCCe_Dk5qTP0FGkF4qClioUo&amp;dib_tag=se&amp;keywords=stepper+motor+1n*m&amp;qid=1772118326&amp;sprefix=stepper+motor+1n+%2Caps%2C287&amp;sr=8-4" TargetMode="External"/><Relationship Id="rId3" Type="http://schemas.openxmlformats.org/officeDocument/2006/relationships/hyperlink" Target="https://www.amazon.es/Arduino-UNO-A000066-microcontrolador-ATmega328/dp/B008GRTSV6/ref=sxin_15_pa_sp_search_thematic_sspa?__mk_es_ES=%C3%85M%C3%85%C5%BD%C3%95%C3%91&amp;content-id=amzn1.sym.20fda4b1-1b39-49dd-9bf7-18d9234eb775%3Aamzn1.sym.20fda4b1-1b39-49dd-9bf7-18d9234eb775&amp;crid=2U5L4YX9KKQZE&amp;cv_ct_cx=placa%2Barduino%2Buno&amp;keywords=placa%2Barduino%2Buno&amp;pd_rd_i=B008GRTSV6&amp;pd_rd_r=b43f2144-f1ea-4e34-87b0-fcb65e482083&amp;pd_rd_w=8UT0S&amp;pd_rd_wg=xo4fK&amp;pf_rd_p=20fda4b1-1b39-49dd-9bf7-18d9234eb775&amp;pf_rd_r=JM6E6EAHMVDT94T1PZH0&amp;qid=1773164023&amp;sbo=RZvfv%2F%2FHxDF%2BO5021pAnSA%3D%3D&amp;sprefix=placa%2Barduino%2Bun%2Caps%2C325&amp;sr=1-3-e5bd47e4-f7c4-453b-867b-8c113095610c-spons&amp;aref=WYtrmVaIaw&amp;sp_csd=d2lkZ2V0TmFtZT1zcF9zZWFyY2hfdGhlbWF0aWM&amp;th=1" TargetMode="External"/><Relationship Id="rId12" Type="http://schemas.openxmlformats.org/officeDocument/2006/relationships/hyperlink" Target="https://rc-innovations.es/shop/fchub-12s-placa-potencia-xclass-matek-fchub-12s-v2-440a-bec-5v-12v-11108" TargetMode="External"/><Relationship Id="rId17" Type="http://schemas.openxmlformats.org/officeDocument/2006/relationships/hyperlink" Target="https://www.amazon.es/QC-Battery-Monitor-Zumbador-indicador/dp/B077Z1N9CS/ref=sr_1_3?__mk_es_ES=%C3%85M%C3%85%C5%BD%C3%95%C3%91&amp;crid=39RT720YW8ZNT&amp;dib=eyJ2IjoiMSJ9.MY6SlYJTqJ3jmh6aHijBxbbDhe_GF0-2JBVgFvf8om4ij8yxxrXveLjfJ2zsUidkdvgjknztHkKQNLreRaUDJLSRDZ1sp4XDdpUKI5BhROwaXuzgrL-aekS2BiavI3eOx2QoNZwdLf8JNfN1CiMAXeELRMg7t6K21bqK71HVtwIzy3lqikH3qjaWZlKo8Nb3L2kAIikrD74GZpyqVjxfqG1nZCjDPMm7KEEcOStRZtNR83bvs6NStIOe4nk1Rhq-HoaNs49pG3hd9T8xPzLsZTqDKDJoT0xSr4WE_vYIK2g.VHbvYyEZWZ6Fce_b5rSlQjfZKp8abAc3cfFh1zXK7T0&amp;dib_tag=se&amp;keywords=alarma+lipo+3s&amp;qid=1773169916&amp;sprefix=alarma+lipo+3s%2Caps%2C259&amp;sr=8-3" TargetMode="External"/><Relationship Id="rId25" Type="http://schemas.openxmlformats.org/officeDocument/2006/relationships/hyperlink" Target="https://www.amazon.es/dp/B0CL4XF6HH/ref=sspa_dk_detail_1?pd_rd_i=B0CL4W5GKY&amp;pd_rd_w=iLMzv&amp;content-id=amzn1.sym.60485818-e89c-4f5b-aa04-170e61bec575&amp;pf_rd_p=60485818-e89c-4f5b-aa04-170e61bec575&amp;pf_rd_r=YETD1VP9NM7E9DMA77J5&amp;pd_rd_wg=FsswE&amp;pd_rd_r=cb96aa70-5baf-481d-8bad-e9feeea3e566&amp;aref=ggrQ3vEDTD&amp;sp_csd=d2lkZ2V0TmFtZT1zcF9kZXRhaWxfdGhlbWF0aWM&amp;th=1" TargetMode="External"/><Relationship Id="rId33" Type="http://schemas.openxmlformats.org/officeDocument/2006/relationships/hyperlink" Target="https://www.amazon.es/dp/B0FXR72L42?smid=A3KRCRBQV8XOTV&amp;ref_=chk_typ_imgToDp&amp;th=1" TargetMode="External"/><Relationship Id="rId38" Type="http://schemas.openxmlformats.org/officeDocument/2006/relationships/hyperlink" Target="https://www.amazon.es/Tornillos-M3-Hexagonal-Cil%C3%ADndricaTornillos-Inoxidable/dp/B0F8R4RT7N/ref=sr_1_5?__mk_es_ES=%C3%85M%C3%85%C5%BD%C3%95%C3%91&amp;crid=28CAQP7UKBZDO&amp;dib=eyJ2IjoiMSJ9.b7UWES6ejXfDUTwXqkTyBw8Fw_uwUEGXsOHSF9L9m3BlIhLoJV4MPWUUu5VHghKCKvvBJ55eMnP47esjoi0gToPZPaiowuVESaWZiMWOMdFpaHtPY8h75Z2momniqZoUz-dZST97RNa076JjAPTM-xeYoLkL-tVVANktIEatmDKdNPV9kN_gtMdANaE_RK1UF_BcevQACWOoyGmv8PSEQ-oohYmIvkt6yobgI8IIthgtqgAqArlcVUGE_GvyPgOvWVPUKaDN4Eo7zy4_L7SDTozdnNxJpB3fAax8pKr65RA.jc7eyCuILr_OTqpLG2S7NlcOcXWR7uHMtLuHbUjattU&amp;dib_tag=se&amp;keywords=perno%2Bm3%2Bx%2B25mm&amp;qid=1782980332&amp;sprefix=perno%2Bm3%2Bx%2B25mm%2Caps%2C150&amp;sr=8-5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3F1E-A2A6-4126-A8F6-507EFD84260F}">
  <dimension ref="D5:R67"/>
  <sheetViews>
    <sheetView tabSelected="1" zoomScale="70" zoomScaleNormal="70" workbookViewId="0">
      <selection activeCell="K12" sqref="K12"/>
    </sheetView>
  </sheetViews>
  <sheetFormatPr baseColWidth="10" defaultRowHeight="14.4" x14ac:dyDescent="0.3"/>
  <cols>
    <col min="4" max="7" width="16.77734375" customWidth="1"/>
    <col min="8" max="8" width="20.21875" bestFit="1" customWidth="1"/>
    <col min="11" max="14" width="16.77734375" customWidth="1"/>
    <col min="15" max="15" width="20" bestFit="1" customWidth="1"/>
  </cols>
  <sheetData>
    <row r="5" spans="4:18" ht="15" thickBot="1" x14ac:dyDescent="0.35">
      <c r="J5" s="13"/>
      <c r="K5" s="13"/>
      <c r="L5" s="13"/>
      <c r="M5" s="13"/>
      <c r="N5" s="13"/>
      <c r="O5" s="13"/>
      <c r="P5" s="13"/>
      <c r="Q5" s="13"/>
      <c r="R5" s="13"/>
    </row>
    <row r="6" spans="4:18" ht="25.8" customHeight="1" thickBot="1" x14ac:dyDescent="0.35">
      <c r="D6" s="23" t="s">
        <v>0</v>
      </c>
      <c r="E6" s="23" t="s">
        <v>1</v>
      </c>
      <c r="F6" s="23" t="s">
        <v>2</v>
      </c>
      <c r="G6" s="23" t="s">
        <v>3</v>
      </c>
      <c r="H6" s="23" t="s">
        <v>4</v>
      </c>
      <c r="J6" s="13"/>
      <c r="K6" s="19"/>
      <c r="L6" s="19"/>
      <c r="M6" s="19"/>
      <c r="N6" s="19"/>
      <c r="O6" s="19"/>
      <c r="P6" s="13"/>
      <c r="Q6" s="13"/>
      <c r="R6" s="13"/>
    </row>
    <row r="7" spans="4:18" ht="15" thickBot="1" x14ac:dyDescent="0.35">
      <c r="D7" s="24" t="s">
        <v>5</v>
      </c>
      <c r="E7" s="24"/>
      <c r="F7" s="24"/>
      <c r="G7" s="24"/>
      <c r="H7" s="24"/>
      <c r="J7" s="13"/>
      <c r="K7" s="14"/>
      <c r="L7" s="14"/>
      <c r="M7" s="14"/>
      <c r="N7" s="14"/>
      <c r="O7" s="14"/>
      <c r="P7" s="13"/>
      <c r="Q7" s="13"/>
      <c r="R7" s="13"/>
    </row>
    <row r="8" spans="4:18" ht="25.8" thickBot="1" x14ac:dyDescent="0.35">
      <c r="D8" s="25" t="s">
        <v>6</v>
      </c>
      <c r="E8" s="26">
        <v>1</v>
      </c>
      <c r="F8" s="26">
        <v>108.95</v>
      </c>
      <c r="G8" s="26">
        <v>108.95</v>
      </c>
      <c r="H8" s="27" t="s">
        <v>7</v>
      </c>
      <c r="J8" s="13"/>
      <c r="K8" s="15"/>
      <c r="L8" s="16"/>
      <c r="M8" s="16"/>
      <c r="N8" s="16"/>
      <c r="O8" s="17"/>
      <c r="P8" s="13"/>
      <c r="Q8" s="13"/>
      <c r="R8" s="13"/>
    </row>
    <row r="9" spans="4:18" ht="15" thickBot="1" x14ac:dyDescent="0.35">
      <c r="D9" s="25" t="s">
        <v>8</v>
      </c>
      <c r="E9" s="26">
        <v>1</v>
      </c>
      <c r="F9" s="26">
        <v>17.48</v>
      </c>
      <c r="G9" s="26">
        <v>17.48</v>
      </c>
      <c r="H9" s="27" t="s">
        <v>7</v>
      </c>
      <c r="J9" s="13"/>
      <c r="K9" s="15"/>
      <c r="L9" s="16"/>
      <c r="M9" s="16"/>
      <c r="N9" s="16"/>
      <c r="O9" s="17"/>
      <c r="P9" s="13"/>
      <c r="Q9" s="13"/>
      <c r="R9" s="13"/>
    </row>
    <row r="10" spans="4:18" ht="25.8" customHeight="1" thickBot="1" x14ac:dyDescent="0.35">
      <c r="D10" s="25" t="s">
        <v>9</v>
      </c>
      <c r="E10" s="26">
        <v>1</v>
      </c>
      <c r="F10" s="26">
        <v>29.3</v>
      </c>
      <c r="G10" s="26">
        <v>29.3</v>
      </c>
      <c r="H10" s="27" t="s">
        <v>7</v>
      </c>
      <c r="J10" s="13"/>
      <c r="K10" s="15"/>
      <c r="L10" s="16"/>
      <c r="M10" s="16"/>
      <c r="N10" s="16"/>
      <c r="O10" s="17"/>
      <c r="P10" s="13"/>
      <c r="Q10" s="13"/>
      <c r="R10" s="13"/>
    </row>
    <row r="11" spans="4:18" ht="15" thickBot="1" x14ac:dyDescent="0.35">
      <c r="D11" s="24" t="s">
        <v>10</v>
      </c>
      <c r="E11" s="24"/>
      <c r="F11" s="24"/>
      <c r="G11" s="24"/>
      <c r="H11" s="24"/>
      <c r="J11" s="13"/>
      <c r="K11" s="15"/>
      <c r="L11" s="16"/>
      <c r="M11" s="16"/>
      <c r="N11" s="16"/>
      <c r="O11" s="17"/>
      <c r="P11" s="13"/>
      <c r="Q11" s="13"/>
      <c r="R11" s="13"/>
    </row>
    <row r="12" spans="4:18" ht="15" thickBot="1" x14ac:dyDescent="0.35">
      <c r="D12" s="25" t="s">
        <v>11</v>
      </c>
      <c r="E12" s="26">
        <v>1</v>
      </c>
      <c r="F12" s="26">
        <v>26.99</v>
      </c>
      <c r="G12" s="26">
        <v>26.99</v>
      </c>
      <c r="H12" s="27" t="s">
        <v>7</v>
      </c>
      <c r="J12" s="13"/>
      <c r="K12" s="15"/>
      <c r="L12" s="16"/>
      <c r="M12" s="16"/>
      <c r="N12" s="16"/>
      <c r="O12" s="17"/>
      <c r="P12" s="13"/>
      <c r="Q12" s="13"/>
      <c r="R12" s="13"/>
    </row>
    <row r="13" spans="4:18" ht="38.4" customHeight="1" thickBot="1" x14ac:dyDescent="0.35">
      <c r="D13" s="25" t="s">
        <v>12</v>
      </c>
      <c r="E13" s="26">
        <v>1</v>
      </c>
      <c r="F13" s="26">
        <v>31.11</v>
      </c>
      <c r="G13" s="26">
        <v>31.11</v>
      </c>
      <c r="H13" s="27" t="s">
        <v>7</v>
      </c>
      <c r="J13" s="13"/>
      <c r="K13" s="15"/>
      <c r="L13" s="16"/>
      <c r="M13" s="16"/>
      <c r="N13" s="16"/>
      <c r="O13" s="17"/>
      <c r="P13" s="13"/>
      <c r="Q13" s="13"/>
      <c r="R13" s="13"/>
    </row>
    <row r="14" spans="4:18" ht="15" thickBot="1" x14ac:dyDescent="0.35">
      <c r="D14" s="25" t="s">
        <v>13</v>
      </c>
      <c r="E14" s="26">
        <v>1</v>
      </c>
      <c r="F14" s="26">
        <v>9.99</v>
      </c>
      <c r="G14" s="26">
        <v>9.99</v>
      </c>
      <c r="H14" s="27" t="s">
        <v>7</v>
      </c>
      <c r="J14" s="13"/>
      <c r="K14" s="15"/>
      <c r="L14" s="16"/>
      <c r="M14" s="16"/>
      <c r="N14" s="16"/>
      <c r="O14" s="17"/>
      <c r="P14" s="13"/>
      <c r="Q14" s="13"/>
      <c r="R14" s="13"/>
    </row>
    <row r="15" spans="4:18" ht="15" thickBot="1" x14ac:dyDescent="0.35">
      <c r="D15" s="24" t="s">
        <v>14</v>
      </c>
      <c r="E15" s="24"/>
      <c r="F15" s="24"/>
      <c r="G15" s="24"/>
      <c r="H15" s="24"/>
      <c r="J15" s="13"/>
      <c r="K15" s="14"/>
      <c r="L15" s="14"/>
      <c r="M15" s="14"/>
      <c r="N15" s="14"/>
      <c r="O15" s="14"/>
      <c r="P15" s="13"/>
      <c r="Q15" s="13"/>
      <c r="R15" s="13"/>
    </row>
    <row r="16" spans="4:18" ht="25.8" customHeight="1" thickBot="1" x14ac:dyDescent="0.35">
      <c r="D16" s="25" t="s">
        <v>15</v>
      </c>
      <c r="E16" s="26">
        <v>1</v>
      </c>
      <c r="F16" s="26">
        <v>31.22</v>
      </c>
      <c r="G16" s="26">
        <v>31.22</v>
      </c>
      <c r="H16" s="27" t="s">
        <v>7</v>
      </c>
      <c r="J16" s="13"/>
      <c r="K16" s="15"/>
      <c r="L16" s="16"/>
      <c r="M16" s="16"/>
      <c r="N16" s="16"/>
      <c r="O16" s="17"/>
      <c r="P16" s="13"/>
      <c r="Q16" s="13"/>
      <c r="R16" s="13"/>
    </row>
    <row r="17" spans="4:18" ht="25.8" customHeight="1" thickBot="1" x14ac:dyDescent="0.35">
      <c r="D17" s="25" t="s">
        <v>16</v>
      </c>
      <c r="E17" s="26">
        <v>2</v>
      </c>
      <c r="F17" s="26">
        <v>16.940000000000001</v>
      </c>
      <c r="G17" s="26">
        <v>33.880000000000003</v>
      </c>
      <c r="H17" s="27" t="s">
        <v>7</v>
      </c>
      <c r="J17" s="13"/>
      <c r="K17" s="15"/>
      <c r="L17" s="16"/>
      <c r="M17" s="16"/>
      <c r="N17" s="16"/>
      <c r="O17" s="17"/>
      <c r="P17" s="13"/>
      <c r="Q17" s="13"/>
      <c r="R17" s="13"/>
    </row>
    <row r="18" spans="4:18" ht="25.8" customHeight="1" thickBot="1" x14ac:dyDescent="0.35">
      <c r="D18" s="25" t="s">
        <v>17</v>
      </c>
      <c r="E18" s="26">
        <v>1</v>
      </c>
      <c r="F18" s="26" t="s">
        <v>18</v>
      </c>
      <c r="G18" s="26" t="s">
        <v>18</v>
      </c>
      <c r="H18" s="27" t="s">
        <v>7</v>
      </c>
      <c r="J18" s="13"/>
      <c r="K18" s="15"/>
      <c r="L18" s="16"/>
      <c r="M18" s="16"/>
      <c r="N18" s="16"/>
      <c r="O18" s="17"/>
      <c r="P18" s="13"/>
      <c r="Q18" s="13"/>
      <c r="R18" s="13"/>
    </row>
    <row r="19" spans="4:18" ht="25.8" thickBot="1" x14ac:dyDescent="0.35">
      <c r="D19" s="25" t="s">
        <v>19</v>
      </c>
      <c r="E19" s="26">
        <v>1</v>
      </c>
      <c r="F19" s="26">
        <v>15.99</v>
      </c>
      <c r="G19" s="26">
        <v>15.99</v>
      </c>
      <c r="H19" s="27" t="s">
        <v>7</v>
      </c>
      <c r="J19" s="13"/>
      <c r="K19" s="15"/>
      <c r="L19" s="16"/>
      <c r="M19" s="16"/>
      <c r="N19" s="16"/>
      <c r="O19" s="17"/>
      <c r="P19" s="13"/>
      <c r="Q19" s="13"/>
      <c r="R19" s="13"/>
    </row>
    <row r="20" spans="4:18" ht="15" thickBot="1" x14ac:dyDescent="0.35">
      <c r="D20" s="24" t="s">
        <v>20</v>
      </c>
      <c r="E20" s="24"/>
      <c r="F20" s="24"/>
      <c r="G20" s="24"/>
      <c r="H20" s="24"/>
      <c r="J20" s="13"/>
      <c r="K20" s="15"/>
      <c r="L20" s="16"/>
      <c r="M20" s="16"/>
      <c r="N20" s="16"/>
      <c r="O20" s="17"/>
      <c r="P20" s="13"/>
      <c r="Q20" s="13"/>
      <c r="R20" s="13"/>
    </row>
    <row r="21" spans="4:18" ht="38.4" customHeight="1" thickBot="1" x14ac:dyDescent="0.35">
      <c r="D21" s="25" t="s">
        <v>21</v>
      </c>
      <c r="E21" s="26">
        <v>3</v>
      </c>
      <c r="F21" s="26" t="s">
        <v>22</v>
      </c>
      <c r="G21" s="26" t="s">
        <v>23</v>
      </c>
      <c r="H21" s="27" t="s">
        <v>7</v>
      </c>
      <c r="J21" s="13"/>
      <c r="K21" s="15"/>
      <c r="L21" s="16"/>
      <c r="M21" s="16"/>
      <c r="N21" s="16"/>
      <c r="O21" s="17"/>
      <c r="P21" s="13"/>
      <c r="Q21" s="13"/>
      <c r="R21" s="13"/>
    </row>
    <row r="22" spans="4:18" ht="38.4" customHeight="1" thickBot="1" x14ac:dyDescent="0.35">
      <c r="D22" s="25" t="s">
        <v>24</v>
      </c>
      <c r="E22" s="26">
        <v>1</v>
      </c>
      <c r="F22" s="26">
        <v>23.59</v>
      </c>
      <c r="G22" s="26">
        <v>23.59</v>
      </c>
      <c r="H22" s="27" t="s">
        <v>7</v>
      </c>
      <c r="J22" s="13"/>
      <c r="K22" s="15"/>
      <c r="L22" s="16"/>
      <c r="M22" s="16"/>
      <c r="N22" s="16"/>
      <c r="O22" s="17"/>
      <c r="P22" s="13"/>
      <c r="Q22" s="13"/>
      <c r="R22" s="13"/>
    </row>
    <row r="23" spans="4:18" ht="38.4" customHeight="1" thickBot="1" x14ac:dyDescent="0.35">
      <c r="D23" s="25" t="s">
        <v>25</v>
      </c>
      <c r="E23" s="26">
        <v>2</v>
      </c>
      <c r="F23" s="26">
        <v>5.99</v>
      </c>
      <c r="G23" s="26">
        <v>11.98</v>
      </c>
      <c r="H23" s="27" t="s">
        <v>7</v>
      </c>
      <c r="J23" s="13"/>
      <c r="K23" s="15"/>
      <c r="L23" s="16"/>
      <c r="M23" s="16"/>
      <c r="N23" s="16"/>
      <c r="O23" s="17"/>
      <c r="P23" s="13"/>
      <c r="Q23" s="13"/>
      <c r="R23" s="13"/>
    </row>
    <row r="24" spans="4:18" ht="15" thickBot="1" x14ac:dyDescent="0.35">
      <c r="D24" s="25" t="s">
        <v>26</v>
      </c>
      <c r="E24" s="26">
        <v>1</v>
      </c>
      <c r="F24" s="26">
        <v>18.79</v>
      </c>
      <c r="G24" s="26">
        <v>18.79</v>
      </c>
      <c r="H24" s="27" t="s">
        <v>7</v>
      </c>
      <c r="J24" s="13"/>
      <c r="K24" s="15"/>
      <c r="L24" s="16"/>
      <c r="M24" s="16"/>
      <c r="N24" s="16"/>
      <c r="O24" s="17"/>
      <c r="P24" s="13"/>
      <c r="Q24" s="13"/>
      <c r="R24" s="13"/>
    </row>
    <row r="25" spans="4:18" ht="15" thickBot="1" x14ac:dyDescent="0.35">
      <c r="D25" s="20" t="s">
        <v>27</v>
      </c>
      <c r="E25" s="21"/>
      <c r="F25" s="21"/>
      <c r="G25" s="21"/>
      <c r="H25" s="22"/>
      <c r="J25" s="13"/>
      <c r="K25" s="15"/>
      <c r="L25" s="16"/>
      <c r="M25" s="16"/>
      <c r="N25" s="16"/>
      <c r="O25" s="17"/>
      <c r="P25" s="13"/>
      <c r="Q25" s="13"/>
      <c r="R25" s="13"/>
    </row>
    <row r="26" spans="4:18" ht="15" thickBot="1" x14ac:dyDescent="0.35">
      <c r="D26" s="3" t="s">
        <v>28</v>
      </c>
      <c r="E26" s="4">
        <v>1</v>
      </c>
      <c r="F26" s="4">
        <v>49.99</v>
      </c>
      <c r="G26" s="4">
        <v>49.99</v>
      </c>
      <c r="H26" s="5" t="s">
        <v>7</v>
      </c>
      <c r="J26" s="13"/>
      <c r="K26" s="14"/>
      <c r="L26" s="14"/>
      <c r="M26" s="14"/>
      <c r="N26" s="14"/>
      <c r="O26" s="14"/>
      <c r="P26" s="13"/>
      <c r="Q26" s="13"/>
      <c r="R26" s="13"/>
    </row>
    <row r="27" spans="4:18" ht="25.8" customHeight="1" thickBot="1" x14ac:dyDescent="0.35">
      <c r="D27" s="3" t="s">
        <v>29</v>
      </c>
      <c r="E27" s="4">
        <v>1</v>
      </c>
      <c r="F27" s="4">
        <v>36.99</v>
      </c>
      <c r="G27" s="4">
        <v>36.99</v>
      </c>
      <c r="H27" s="5" t="s">
        <v>7</v>
      </c>
      <c r="J27" s="13"/>
      <c r="K27" s="15"/>
      <c r="L27" s="16"/>
      <c r="M27" s="16"/>
      <c r="N27" s="16"/>
      <c r="O27" s="18"/>
      <c r="P27" s="13"/>
      <c r="Q27" s="13"/>
      <c r="R27" s="13"/>
    </row>
    <row r="28" spans="4:18" ht="15" thickBot="1" x14ac:dyDescent="0.35">
      <c r="D28" s="3" t="s">
        <v>30</v>
      </c>
      <c r="E28" s="4">
        <v>1</v>
      </c>
      <c r="F28" s="4">
        <v>6.99</v>
      </c>
      <c r="G28" s="4">
        <v>6.99</v>
      </c>
      <c r="H28" s="5" t="s">
        <v>7</v>
      </c>
      <c r="J28" s="13"/>
      <c r="K28" s="15"/>
      <c r="L28" s="16"/>
      <c r="M28" s="16"/>
      <c r="N28" s="16"/>
      <c r="O28" s="17"/>
      <c r="P28" s="13"/>
      <c r="Q28" s="13"/>
      <c r="R28" s="13"/>
    </row>
    <row r="29" spans="4:18" ht="15" thickBot="1" x14ac:dyDescent="0.35">
      <c r="D29" s="6" t="s">
        <v>31</v>
      </c>
      <c r="E29" s="7"/>
      <c r="F29" s="7"/>
      <c r="G29" s="7"/>
      <c r="H29" s="8"/>
      <c r="J29" s="13"/>
      <c r="K29" s="15"/>
      <c r="L29" s="16"/>
      <c r="M29" s="16"/>
      <c r="N29" s="16"/>
      <c r="O29" s="16"/>
    </row>
    <row r="30" spans="4:18" ht="15" thickBot="1" x14ac:dyDescent="0.35">
      <c r="D30" s="3" t="s">
        <v>32</v>
      </c>
      <c r="E30" s="4">
        <v>1</v>
      </c>
      <c r="F30" s="4" t="s">
        <v>33</v>
      </c>
      <c r="G30" s="4" t="s">
        <v>33</v>
      </c>
      <c r="H30" s="5" t="s">
        <v>7</v>
      </c>
    </row>
    <row r="31" spans="4:18" ht="15" thickBot="1" x14ac:dyDescent="0.35">
      <c r="D31" s="3" t="s">
        <v>34</v>
      </c>
      <c r="E31" s="4">
        <v>1</v>
      </c>
      <c r="F31" s="4" t="s">
        <v>35</v>
      </c>
      <c r="G31" s="4" t="s">
        <v>35</v>
      </c>
      <c r="H31" s="5" t="s">
        <v>7</v>
      </c>
      <c r="L31" s="12"/>
    </row>
    <row r="32" spans="4:18" ht="15" thickBot="1" x14ac:dyDescent="0.35">
      <c r="D32" s="3" t="s">
        <v>36</v>
      </c>
      <c r="E32" s="4">
        <v>1</v>
      </c>
      <c r="F32" s="4" t="s">
        <v>37</v>
      </c>
      <c r="G32" s="4">
        <v>8.99</v>
      </c>
      <c r="H32" s="5" t="s">
        <v>7</v>
      </c>
    </row>
    <row r="33" spans="4:8" ht="25.8" thickBot="1" x14ac:dyDescent="0.35">
      <c r="D33" s="3" t="s">
        <v>38</v>
      </c>
      <c r="E33" s="4">
        <v>3</v>
      </c>
      <c r="F33" s="4">
        <v>6.5</v>
      </c>
      <c r="G33" s="4">
        <v>19.5</v>
      </c>
      <c r="H33" s="5" t="s">
        <v>7</v>
      </c>
    </row>
    <row r="34" spans="4:8" ht="25.8" thickBot="1" x14ac:dyDescent="0.35">
      <c r="D34" s="3" t="s">
        <v>39</v>
      </c>
      <c r="E34" s="4">
        <v>2</v>
      </c>
      <c r="F34" s="4">
        <v>7.8</v>
      </c>
      <c r="G34" s="4">
        <v>15.6</v>
      </c>
      <c r="H34" s="5" t="s">
        <v>7</v>
      </c>
    </row>
    <row r="35" spans="4:8" ht="25.8" thickBot="1" x14ac:dyDescent="0.35">
      <c r="D35" s="3" t="s">
        <v>40</v>
      </c>
      <c r="E35" s="4">
        <v>1</v>
      </c>
      <c r="F35" s="4">
        <v>6.95</v>
      </c>
      <c r="G35" s="4">
        <v>6.95</v>
      </c>
      <c r="H35" s="5" t="s">
        <v>7</v>
      </c>
    </row>
    <row r="36" spans="4:8" ht="25.8" thickBot="1" x14ac:dyDescent="0.35">
      <c r="D36" s="3" t="s">
        <v>41</v>
      </c>
      <c r="E36" s="4">
        <v>1</v>
      </c>
      <c r="F36" s="4">
        <v>3.97</v>
      </c>
      <c r="G36" s="4">
        <v>3.97</v>
      </c>
      <c r="H36" s="5" t="s">
        <v>7</v>
      </c>
    </row>
    <row r="37" spans="4:8" ht="15" thickBot="1" x14ac:dyDescent="0.35">
      <c r="D37" s="3" t="s">
        <v>42</v>
      </c>
      <c r="E37" s="4">
        <v>1</v>
      </c>
      <c r="F37" s="4">
        <v>0.5</v>
      </c>
      <c r="G37" s="4">
        <v>0.5</v>
      </c>
      <c r="H37" s="4" t="s">
        <v>43</v>
      </c>
    </row>
    <row r="38" spans="4:8" ht="15" thickBot="1" x14ac:dyDescent="0.35">
      <c r="D38" s="3" t="s">
        <v>44</v>
      </c>
      <c r="E38" s="4">
        <v>1</v>
      </c>
      <c r="F38" s="4">
        <v>3</v>
      </c>
      <c r="G38" s="4">
        <v>3</v>
      </c>
      <c r="H38" s="4" t="s">
        <v>43</v>
      </c>
    </row>
    <row r="39" spans="4:8" ht="15" thickBot="1" x14ac:dyDescent="0.35">
      <c r="D39" s="3" t="s">
        <v>45</v>
      </c>
      <c r="E39" s="4">
        <v>2</v>
      </c>
      <c r="F39" s="4">
        <v>1</v>
      </c>
      <c r="G39" s="4">
        <v>2</v>
      </c>
      <c r="H39" s="4" t="s">
        <v>43</v>
      </c>
    </row>
    <row r="42" spans="4:8" ht="15" thickBot="1" x14ac:dyDescent="0.35"/>
    <row r="43" spans="4:8" ht="15" thickBot="1" x14ac:dyDescent="0.35">
      <c r="D43" s="1" t="s">
        <v>46</v>
      </c>
      <c r="E43" s="2" t="s">
        <v>1</v>
      </c>
      <c r="F43" s="2" t="s">
        <v>47</v>
      </c>
      <c r="G43" s="2" t="s">
        <v>48</v>
      </c>
      <c r="H43" s="2" t="s">
        <v>4</v>
      </c>
    </row>
    <row r="44" spans="4:8" ht="15" thickBot="1" x14ac:dyDescent="0.35">
      <c r="D44" s="6" t="s">
        <v>49</v>
      </c>
      <c r="E44" s="7"/>
      <c r="F44" s="7"/>
      <c r="G44" s="7"/>
      <c r="H44" s="8"/>
    </row>
    <row r="45" spans="4:8" ht="25.8" thickBot="1" x14ac:dyDescent="0.35">
      <c r="D45" s="3" t="s">
        <v>50</v>
      </c>
      <c r="E45" s="4">
        <v>1</v>
      </c>
      <c r="F45" s="4">
        <v>10.09</v>
      </c>
      <c r="G45" s="4">
        <v>10.09</v>
      </c>
      <c r="H45" s="5" t="s">
        <v>7</v>
      </c>
    </row>
    <row r="46" spans="4:8" ht="25.8" thickBot="1" x14ac:dyDescent="0.35">
      <c r="D46" s="3" t="s">
        <v>51</v>
      </c>
      <c r="E46" s="4">
        <v>1</v>
      </c>
      <c r="F46" s="4">
        <v>11.51</v>
      </c>
      <c r="G46" s="4">
        <v>11.51</v>
      </c>
      <c r="H46" s="5" t="s">
        <v>7</v>
      </c>
    </row>
    <row r="47" spans="4:8" ht="25.8" thickBot="1" x14ac:dyDescent="0.35">
      <c r="D47" s="3" t="s">
        <v>52</v>
      </c>
      <c r="E47" s="4">
        <v>1</v>
      </c>
      <c r="F47" s="4">
        <v>6.47</v>
      </c>
      <c r="G47" s="4">
        <v>6.47</v>
      </c>
      <c r="H47" s="5" t="s">
        <v>7</v>
      </c>
    </row>
    <row r="48" spans="4:8" ht="25.8" thickBot="1" x14ac:dyDescent="0.35">
      <c r="D48" s="3" t="s">
        <v>53</v>
      </c>
      <c r="E48" s="4">
        <v>1</v>
      </c>
      <c r="F48" s="4">
        <v>26.62</v>
      </c>
      <c r="G48" s="4">
        <v>26.62</v>
      </c>
      <c r="H48" s="5" t="s">
        <v>7</v>
      </c>
    </row>
    <row r="49" spans="4:8" ht="25.8" thickBot="1" x14ac:dyDescent="0.35">
      <c r="D49" s="3" t="s">
        <v>54</v>
      </c>
      <c r="E49" s="4">
        <v>1</v>
      </c>
      <c r="F49" s="4">
        <v>8.49</v>
      </c>
      <c r="G49" s="4">
        <v>8.49</v>
      </c>
      <c r="H49" s="5" t="s">
        <v>7</v>
      </c>
    </row>
    <row r="50" spans="4:8" ht="15" thickBot="1" x14ac:dyDescent="0.35">
      <c r="D50" s="3" t="s">
        <v>55</v>
      </c>
      <c r="E50" s="4">
        <v>1</v>
      </c>
      <c r="F50" s="4">
        <v>7</v>
      </c>
      <c r="G50" s="4">
        <v>7</v>
      </c>
      <c r="H50" s="5" t="s">
        <v>7</v>
      </c>
    </row>
    <row r="51" spans="4:8" ht="25.8" thickBot="1" x14ac:dyDescent="0.35">
      <c r="D51" s="3" t="s">
        <v>56</v>
      </c>
      <c r="E51" s="4">
        <v>1</v>
      </c>
      <c r="F51" s="4">
        <v>6.99</v>
      </c>
      <c r="G51" s="4">
        <v>6.99</v>
      </c>
      <c r="H51" s="5" t="s">
        <v>7</v>
      </c>
    </row>
    <row r="52" spans="4:8" ht="15" thickBot="1" x14ac:dyDescent="0.35">
      <c r="D52" s="6" t="s">
        <v>57</v>
      </c>
      <c r="E52" s="7"/>
      <c r="F52" s="7"/>
      <c r="G52" s="7"/>
      <c r="H52" s="8"/>
    </row>
    <row r="53" spans="4:8" ht="15" thickBot="1" x14ac:dyDescent="0.35">
      <c r="D53" s="3" t="s">
        <v>58</v>
      </c>
      <c r="E53" s="4">
        <v>1</v>
      </c>
      <c r="F53" s="4">
        <v>1.25</v>
      </c>
      <c r="G53" s="4">
        <v>1.25</v>
      </c>
      <c r="H53" s="5" t="s">
        <v>7</v>
      </c>
    </row>
    <row r="54" spans="4:8" ht="25.8" thickBot="1" x14ac:dyDescent="0.35">
      <c r="D54" s="3" t="s">
        <v>59</v>
      </c>
      <c r="E54" s="4">
        <v>1</v>
      </c>
      <c r="F54" s="4">
        <v>11.99</v>
      </c>
      <c r="G54" s="4">
        <v>11.99</v>
      </c>
      <c r="H54" s="5" t="s">
        <v>7</v>
      </c>
    </row>
    <row r="55" spans="4:8" ht="15" customHeight="1" thickBot="1" x14ac:dyDescent="0.35">
      <c r="D55" s="3" t="s">
        <v>60</v>
      </c>
      <c r="E55" s="4">
        <v>2</v>
      </c>
      <c r="F55" s="4">
        <v>8.49</v>
      </c>
      <c r="G55" s="4">
        <v>16.98</v>
      </c>
      <c r="H55" s="5" t="s">
        <v>7</v>
      </c>
    </row>
    <row r="56" spans="4:8" ht="25.8" thickBot="1" x14ac:dyDescent="0.35">
      <c r="D56" s="3" t="s">
        <v>61</v>
      </c>
      <c r="E56" s="4">
        <v>1</v>
      </c>
      <c r="F56" s="4">
        <v>15.99</v>
      </c>
      <c r="G56" s="4">
        <v>15.99</v>
      </c>
      <c r="H56" s="5" t="s">
        <v>7</v>
      </c>
    </row>
    <row r="57" spans="4:8" ht="25.8" thickBot="1" x14ac:dyDescent="0.35">
      <c r="D57" s="3" t="s">
        <v>62</v>
      </c>
      <c r="E57" s="4">
        <v>1</v>
      </c>
      <c r="F57" s="4">
        <v>31.99</v>
      </c>
      <c r="G57" s="4">
        <v>31.99</v>
      </c>
      <c r="H57" s="5" t="s">
        <v>7</v>
      </c>
    </row>
    <row r="58" spans="4:8" ht="25.8" thickBot="1" x14ac:dyDescent="0.35">
      <c r="D58" s="3" t="s">
        <v>63</v>
      </c>
      <c r="E58" s="4">
        <v>1</v>
      </c>
      <c r="F58" s="4">
        <v>14.99</v>
      </c>
      <c r="G58" s="4">
        <v>14.99</v>
      </c>
      <c r="H58" s="5" t="s">
        <v>7</v>
      </c>
    </row>
    <row r="59" spans="4:8" ht="15" thickBot="1" x14ac:dyDescent="0.35">
      <c r="D59" s="3" t="s">
        <v>64</v>
      </c>
      <c r="E59" s="4">
        <v>1</v>
      </c>
      <c r="F59" s="4">
        <v>6.99</v>
      </c>
      <c r="G59" s="4">
        <v>6.99</v>
      </c>
      <c r="H59" s="5" t="s">
        <v>7</v>
      </c>
    </row>
    <row r="60" spans="4:8" ht="25.8" thickBot="1" x14ac:dyDescent="0.35">
      <c r="D60" s="3" t="s">
        <v>65</v>
      </c>
      <c r="E60" s="4">
        <v>1</v>
      </c>
      <c r="F60" s="4">
        <v>13.07</v>
      </c>
      <c r="G60" s="4">
        <v>13.07</v>
      </c>
      <c r="H60" s="5" t="s">
        <v>7</v>
      </c>
    </row>
    <row r="61" spans="4:8" ht="15" thickBot="1" x14ac:dyDescent="0.35">
      <c r="D61" s="3" t="s">
        <v>66</v>
      </c>
      <c r="E61" s="4">
        <v>1</v>
      </c>
      <c r="F61" s="4">
        <v>9.59</v>
      </c>
      <c r="G61" s="4">
        <v>9.59</v>
      </c>
      <c r="H61" s="5" t="s">
        <v>7</v>
      </c>
    </row>
    <row r="62" spans="4:8" ht="25.8" thickBot="1" x14ac:dyDescent="0.35">
      <c r="D62" s="3" t="s">
        <v>67</v>
      </c>
      <c r="E62" s="4">
        <v>1</v>
      </c>
      <c r="F62" s="4">
        <v>11.9</v>
      </c>
      <c r="G62" s="4">
        <v>11.9</v>
      </c>
      <c r="H62" s="5" t="s">
        <v>7</v>
      </c>
    </row>
    <row r="63" spans="4:8" x14ac:dyDescent="0.3">
      <c r="D63" s="9" t="s">
        <v>68</v>
      </c>
      <c r="E63" s="10"/>
      <c r="F63" s="10"/>
      <c r="G63" s="10"/>
      <c r="H63" s="11"/>
    </row>
    <row r="64" spans="4:8" ht="26.4" customHeight="1" thickBot="1" x14ac:dyDescent="0.35">
      <c r="D64" s="3" t="s">
        <v>71</v>
      </c>
      <c r="E64" s="4" t="s">
        <v>73</v>
      </c>
      <c r="F64" s="4" t="s">
        <v>72</v>
      </c>
      <c r="G64" s="4">
        <v>145</v>
      </c>
      <c r="H64" s="4" t="s">
        <v>74</v>
      </c>
    </row>
    <row r="65" spans="4:8" ht="15" thickBot="1" x14ac:dyDescent="0.35">
      <c r="D65" s="3" t="s">
        <v>69</v>
      </c>
      <c r="E65" s="4">
        <v>1</v>
      </c>
      <c r="F65" s="4">
        <v>10.99</v>
      </c>
      <c r="G65" s="4">
        <v>10.99</v>
      </c>
      <c r="H65" s="5" t="s">
        <v>7</v>
      </c>
    </row>
    <row r="66" spans="4:8" ht="15" thickBot="1" x14ac:dyDescent="0.35">
      <c r="D66" s="3" t="s">
        <v>70</v>
      </c>
      <c r="E66" s="4">
        <v>1</v>
      </c>
      <c r="F66" s="4">
        <v>15.39</v>
      </c>
      <c r="G66" s="4">
        <v>15.39</v>
      </c>
      <c r="H66" s="4" t="s">
        <v>43</v>
      </c>
    </row>
    <row r="67" spans="4:8" ht="15" thickBot="1" x14ac:dyDescent="0.35">
      <c r="D67" s="3" t="s">
        <v>75</v>
      </c>
      <c r="E67" s="4">
        <f>SUM(G8:G10,G12:G14,G16:G19,G21:G24,G26:G28,G30:G39,G45:G51,G53:G62,G64:G66)</f>
        <v>897.04000000000042</v>
      </c>
    </row>
  </sheetData>
  <mergeCells count="12">
    <mergeCell ref="D44:H44"/>
    <mergeCell ref="D52:H52"/>
    <mergeCell ref="D63:H63"/>
    <mergeCell ref="D20:H20"/>
    <mergeCell ref="D25:H25"/>
    <mergeCell ref="D29:H29"/>
    <mergeCell ref="K7:O7"/>
    <mergeCell ref="K15:O15"/>
    <mergeCell ref="K26:O26"/>
    <mergeCell ref="D7:H7"/>
    <mergeCell ref="D11:H11"/>
    <mergeCell ref="D15:H15"/>
  </mergeCells>
  <hyperlinks>
    <hyperlink ref="H8" r:id="rId1" display="https://www.tiendatec.es/raspberry-pi/gama-raspberry-pi/1100-raspberry-pi-4-modelo-b-4gb-5056561800349.html" xr:uid="{BADB32FA-8F31-4326-ACDA-7DC0E42F113C}"/>
    <hyperlink ref="H9" r:id="rId2" display="https://www.amazon.es/-/en/SanDisk-Ultra-microSDHC-Adapter-100MB/dp/B08HVWJM8C/ref=sr_1_5?crid=YQZJ2NTX8PKT&amp;dib=eyJ2IjoiMSJ9.ggeRPD8ChcDADbOvsJ7bpDqLOohSbGVrZ9QsuCOQv01rNpLq_HzXKIY0oUUjFNtDgkykVseC_twc-vPogJ6ZT50MTuQf0b8rjS4-wW3rZnLtqc17f0sDgUWuh6nmiSb8-j3Ubj-ANh0dqGED6_5XxWODZrLFKhxMZETJJjH-cghFH3iq7Y8qJlKqB312r6wh6edqPs73Ul90vVNIUXyAvVnf_FkLngA28uv4G0AgtzX9BQa6eTRtlm3QAlXmqhevRhKQRMbBYQT0sQ3nL0FHULedd7RNrs8sJzB_mx0mww4.JK1dRfgipCmbT4pgI7y0_qxrYVJ26KtAVN_Nx65QY18&amp;dib_tag=se&amp;keywords=microSD+SanDisk+Ultra+32+GB&amp;qid=1777479773&amp;sprefix=microsd+sandisk+ultra+32+gb%2Caps%2C129&amp;sr=8-5" xr:uid="{0BD3312B-2673-4497-B0F6-691537024B74}"/>
    <hyperlink ref="H10" r:id="rId3" display="https://www.amazon.es/Arduino-UNO-A000066-microcontrolador-ATmega328/dp/B008GRTSV6/ref=sxin_15_pa_sp_search_thematic_sspa?__mk_es_ES=%C3%85M%C3%85%C5%BD%C3%95%C3%91&amp;content-id=amzn1.sym.20fda4b1-1b39-49dd-9bf7-18d9234eb775%3Aamzn1.sym.20fda4b1-1b39-49dd-9bf7-18d9234eb775&amp;crid=2U5L4YX9KKQZE&amp;cv_ct_cx=placa%2Barduino%2Buno&amp;keywords=placa%2Barduino%2Buno&amp;pd_rd_i=B008GRTSV6&amp;pd_rd_r=b43f2144-f1ea-4e34-87b0-fcb65e482083&amp;pd_rd_w=8UT0S&amp;pd_rd_wg=xo4fK&amp;pf_rd_p=20fda4b1-1b39-49dd-9bf7-18d9234eb775&amp;pf_rd_r=JM6E6EAHMVDT94T1PZH0&amp;qid=1773164023&amp;sbo=RZvfv%2F%2FHxDF%2BO5021pAnSA%3D%3D&amp;sprefix=placa%2Barduino%2Bun%2Caps%2C325&amp;sr=1-3-e5bd47e4-f7c4-453b-867b-8c113095610c-spons&amp;aref=WYtrmVaIaw&amp;sp_csd=d2lkZ2V0TmFtZT1zcF9zZWFyY2hfdGhlbWF0aWM&amp;th=1" xr:uid="{EBFF17DA-32FC-4BD3-95CD-A451018670B3}"/>
    <hyperlink ref="H12" r:id="rId4" display="https://www.amazon.es/-/en/Waveshare-Development-Resolution-Dual-Core-Processor/dp/B0FQ58T5VS/ref=sr_1_9?crid=1Q1AXV57I0IT8&amp;dib=eyJ2IjoiMSJ9.nBFxWlhU1VXDN9ZHaSvl6WtuhVpRQag5EgmVtFnjz36bUjpcCGn2YW3zu_x6-xbX9eFt1EnyLcY3OBOZ3YWCQmQ-AhG-zshT3fdodALwC42SPA-xdnlUKaBg2Pvo5oehZ2z8gYJlJFPi8aB_A0h1oCFM-88M85_0xnk8GdwWMChAZULoFI-kfNDM2VEVsjSLUDKqJLG0eu_kxRhWWIY3zVHk5Gpcd7p1Wp8CkUUYmEPi-vurYfdN9qva6lSAMVODygUXOIfuuwyEXzepyEpXvFWaQ0Gl_FtlmgQ5AGg97Uo.6KLyYAmABPy2NDCb5-K9UePUeo-wy8sPolrBFWPpLbY&amp;dib_tag=se&amp;keywords=Waveshare+ESP32-S3-DualEye-Touch-LCD-1.28&amp;qid=1777480059&amp;sprefix=waveshare+esp32-s3-dualeye-touch-lcd-1.28%2Caps%2C140&amp;sr=8-9" xr:uid="{31BE6D42-20E1-4DF8-A985-16ED1715CBAF}"/>
    <hyperlink ref="H13" r:id="rId5" display="https://www.mouser.es/ProductDetail/Seeed-Studio/110061601?qs=efUn273yAhcPxUjBpI0kHA%3D%3D&amp;mgh=1&amp;vip=1&amp;srsltid=AfmBOoo9pKXnaDGRp6jgR3azF5Pb1fxy_m1N4ASDzM7-KxMf7EVaF4G7Kk4" xr:uid="{7D41E03F-F400-4572-88CE-779B58210355}"/>
    <hyperlink ref="H14" r:id="rId6" display="https://www.amazon.es/Digitalkey-completo-pulgadas-cuadrado-frecuencia/dp/B0GL36Q9HS?source=ps-sl-shoppingads-lpcontext&amp;ref_=fplfs&amp;psc=1&amp;smid=A1YW8TRQ95RADD&amp;utm_source=chatgpt.com" xr:uid="{F091C991-A2AB-4DE6-9375-E85E1D0199CD}"/>
    <hyperlink ref="H16" r:id="rId7" display="https://www.amazon.es/STEPPERONLINE-Nema-23-Motor-bipolar/dp/B00PNEPI0A/ref=sr_1_7?__mk_es_ES=%C3%85M%C3%85%C5%BD%C3%95%C3%91&amp;crid=39AMJS64MBAG&amp;dib=eyJ2IjoiMSJ9.Ts7pCl0zDM9DnAo-MoHtNIF0P_-WETMEi48Z9UkT_6y6VQweYLzQbGM-svWSjDmgPBReJnhjW-kLcE52tA15a0PdcLKg2fidlt2Zcc4mXLQc2sqg4RLJkoajHSu4TgWJwugZPBI-1DKxOSigLaO1tSNElfCGx_CUOKhCUiKqR876glUIMVl3Xpfkd6lVaEMItnxNMsSWuqL8koaRKL9F2RZcAPHAX8ihvt2oJqFui2vzaOpEc0dfjJ9O4GJ8y_CdNOIBUs0jFjTtlGp71nrnJvJKsOqtXvS29DyXUln1-yE._44NqnnUvAJ_cVkzPgQa_uU_qZLzTwzwM2xaMd2ucHE&amp;dib_tag=se&amp;keywords=stepper+motor+5+N*m&amp;qid=1772126221&amp;sprefix=stepper+motor5+n+m%2Caps%2C254&amp;sr=8-7" xr:uid="{CA8BE159-A2BD-4170-9D9A-E930720DB939}"/>
    <hyperlink ref="H17" r:id="rId8" display="https://www.amazon.es/Stepper-Bipolar-4-lead-Printer-STEPPERONLINE/dp/B00PNEQKC0/ref=sr_1_4?__mk_es_ES=%C3%85M%C3%85%C5%BD%C3%95%C3%91&amp;crid=3K700F6LEL3PR&amp;dib=eyJ2IjoiMSJ9.0_a3jemBSDbXWt4r_VssBuNCpYJdWJFrufojyjgjzYAWspSp_8HuIhZ45bpcP5aCtLTv8K0kXwvSgRRpTr6j6G8bjA553D1AtdgSwUFNmy-vnaGgOwfhD945-3vfY1HARI7p1wdAheOLhNN8vkGHZ5cyFDLpLjULZsoZjTr7tD0NAn6rG3zieKDB1azH9Dc_l2SKZGpYGYrodGKYCAzl9NzVkFuq3B1gwsj3Pq29ZC1oAI7ohuFPguT9LepgTjyzQeG41c14KgHpTZH_KH8OaVyd8rtsFJehN57c7oRyrYY.7vslUAyPxxz4IkleTOBSCCe_Dk5qTP0FGkF4qClioUo&amp;dib_tag=se&amp;keywords=stepper+motor+1n*m&amp;qid=1772118326&amp;sprefix=stepper+motor+1n+%2Caps%2C287&amp;sr=8-4" xr:uid="{AC0C9B78-D04D-4BB2-AD55-DC83011C9C84}"/>
    <hyperlink ref="H18" r:id="rId9" display="https://www.amazon.es/ANNIMOS-Direcci%C3%B3n-Digital-Engranaje-Inoxidable/dp/B0C69BXL6V/ref=sr_1_1?__mk_es_ES=%C3%85M%C3%85%C5%BD%C3%95%C3%91&amp;crid=1NAVYINFGZK55&amp;dib=eyJ2IjoiMSJ9.75vLvLrdsv_yiGCCxUzfo6gcEaAiZutLU0l49dVNfGy-WsQQHjTH3BNOWyiMjMB6uejQWV1l2_YzmGzH_NNNJH0VR6JnazZRIp_s82YvGWPUWDMKGk_dGjNDxJnaLyX-Baw1TcpCZYng-Yxzbxc6evLTu-tgsNSgkyBI5wZMzdHI4wfhG3vAC9PcBIvlLVWe2tMdf464osis7GtjyXWIM7Enjagt0axiHT-mNYo65I_ZJCtvkwaUQPQD07L5Nl1Ns2zsm-vJkZG3oKtXDf0qbD2MusDHppehKxBm4QNvDzk.do677abRl1KiL3EU3OoIsmbNcrnFEuChqPYWcbm04tk&amp;dib_tag=se&amp;keywords=servo%2B45%2Bkg%2Bcm&amp;qid=1772212379&amp;sprefix=servo%2B45%2Bkg%2Caps%2C297&amp;sr=8-1&amp;th=1" xr:uid="{422005A3-A44A-4C73-B193-859697B1E933}"/>
    <hyperlink ref="H19" r:id="rId10" display="https://www.amazon.es/Miuzei-Servomotor-Accuracy-Airplane-Helicopter/dp/B0C1TXW74L/ref=sr_1_4?__mk_es_ES=%C3%85M%C3%85%C5%BD%C3%95%C3%91&amp;crid=1O4G8SQQSP1U6&amp;dib=eyJ2IjoiMSJ9.5o1ojOaWrFBXL-RGM5hZBDeKf_hC156UYSsUPOXbpXQuXCrbGJDokiVB-0oPS-yi2ybX9Jw0vjUPEvfSQ6fySjdAQ5B0QzVxaSbo917sj9CkgzWSjcDvLa9zjYvpuaSMZdMzUsDzDUrDbEEcz1Z3fDOSl5ueEAbyGF7RDf9_UhwU3ujQWcrWt-iZ1WB48gmyiZzwGm-XLtXOALYOtFxfwK4VdWXe2clULw8DC6RIf3_wLsexWBVpUKYagw7a1d2e25CaMC4z52-QfGHAJKFLB6aqPGEZ__xLgeZvceHvpzg.2jCjompSFZOr0e1gnvI4FZNSfmS3vaBmZaUJjdNC7yE&amp;dib_tag=se&amp;keywords=MG996R&amp;qid=1773250210&amp;sprefix=mg996r%2B%2Caps%2C378&amp;sr=8-4&amp;th=1" xr:uid="{5CB8EEEC-A456-40EB-B49A-FCDA475E9D0E}"/>
    <hyperlink ref="H21" r:id="rId11" display="https://www.amazon.es/COVVY-TB6600-Controlador-segmentos-Conductor/dp/B07SBZ9SM5/ref=pd_lpo_d_sccl_2/257-6446781-1650629?pd_rd_w=7sP1p&amp;content-id=amzn1.sym.dbff13a3-ec7b-4ab4-a8ad-e4356fa2bfdb&amp;pf_rd_p=dbff13a3-ec7b-4ab4-a8ad-e4356fa2bfdb&amp;pf_rd_r=34S7RZDA7FW9SGHK5GE7&amp;pd_rd_wg=IoRnK&amp;pd_rd_r=4987fb30-2db7-4ed9-9a11-42898d4936f4&amp;pd_rd_i=B07SBZ9SM5&amp;psc=1" xr:uid="{5C18BEC8-AF56-4D35-BF7E-633370F1A847}"/>
    <hyperlink ref="H22" r:id="rId12" location="attr=18788" display="https://rc-innovations.es/shop/fchub-12s-placa-potencia-xclass-matek-fchub-12s-v2-440a-bec-5v-12v-11108 - attr=18788" xr:uid="{3DA60648-E672-4185-9132-457842905B52}"/>
    <hyperlink ref="H23" r:id="rId13" display="https://www.amazon.es/XL4015-Convertidor-ajustable-CC-CV/dp/B0D9HPY6J6/ref=sr_1_8?__mk_es_ES=%C3%85M%C3%85%C5%BD%C3%95%C3%91&amp;crid=21UOANKXGERNM&amp;dib=eyJ2IjoiMSJ9.GzBSeNhZDLbc83Yx1yskUXd2mMwJ0s8PfHO9OIsm6K-X9mmpv0Iv8y9_sSCBN5IrGvAFknRCvv_FK_gS3Nos9n1ygMMQITbm1loetmQLc1lehFuLFNWmkZs-7ABN5TbszU12M0tSDI3Iqpa5NNp-JdN_82OpQlVP_x_JybLjC7TpH2aMWhMvcKg5HOoK93_eAYm_6waNNbj10eWMzvHcM69dvWPxJ2Gy7esfBOMY7z2ivIe-8nJWfgx1hSXt5MMkmptVGe0VCfTT7h8lu7q3nRkXV605uPV6wgNWr7tHn0s.RMV46D6d6TXsaUsqJ495hVku3N9O0u_gE2Anx7q9vkQ&amp;dib_tag=se&amp;keywords=XL4015&amp;qid=1773339625&amp;sprefix=xl4015%2B%2Caps%2C315&amp;sr=8-8&amp;th=1" xr:uid="{D7B13B82-45C2-4664-94C6-D0346F92FD77}"/>
    <hyperlink ref="H24" r:id="rId14" display="https://es.aliexpress.com/item/1005008564508622.html?src=google&amp;src=google&amp;albch=shopping&amp;acnt=439-079-4345&amp;isdl=y&amp;slnk=&amp;plac=&amp;mtctp=&amp;albbt=Google_7_shopping&amp;aff_platform=google&amp;aff_short_key=UneMJZVf&amp;gclsrc=aw.ds&amp;albagn=888888&amp;ds_e_adid=&amp;ds_e_matchtype=&amp;ds_e_device=c&amp;ds_e_network=x&amp;ds_e_product_group_id=&amp;ds_e_product_id=es1005008564508622&amp;ds_e_product_merchant_id=109253881&amp;ds_e_product_country=ES&amp;ds_e_product_language=es&amp;ds_e_product_channel=online&amp;ds_e_product_store_id=&amp;ds_url_v=2&amp;albcp=20546371357&amp;albag=&amp;isSmbAutoCall=false&amp;needSmbHouyi=false&amp;gad_source=1&amp;gad_campaignid=17348793017&amp;gbraid=0AAAAACbpfvaL7Fek5vg2RAPLyjOYwGtHH&amp;gclid=CjwKCAjwxITRBhBYEiwA6mZm7VPhwLFebUs8fhfjOcVFU8St_FXbXQYQ0A1LOzbl2HOR7HhIQZsHlhoC6mQQAvD_BwE" xr:uid="{9833A4BD-35B3-4215-8598-37CBCB3D4844}"/>
    <hyperlink ref="H26" r:id="rId15" location="averageCustomerReviewsAnchor" display="https://www.amazon.es/DXF-14-8V-Bater%C3%ADa-6500mah-Conector/dp/B09KP6T2RC/ref=sr_1_9?__mk_es_ES=%C3%85M%C3%85%C5%BD%C3%95%C3%91&amp;crid=2R19I50C70LK7&amp;dib=eyJ2IjoiMSJ9._7wxe-dfsWjP82dLC6CXg615fyzpA79EkGZQnKP7WUiEB50oOtfOwoJcwBjaeNvcxQ6jCkWiZjM9XLuFpaRVjTRVYjmana1A-dE3Dls_xrXThl5OqRlXMdJpRW8aURZEiRk_ddmNMfwvd9R_uCpm_y760wVhbVpjxetGRI0FfTv8d5dO58yTzu7w_DQxvu3aReOn4oZqeKJ-IGClHuziIxRpheTXCyeZOTqVwHrEWpgyiIJMbyc5kCVvHsyjCQtvhJCL5-cOORK9pu81RvlUVCb6EeTdBAaNtAD_kuTJTeY.LNvuJ7MJTHqVm5dew6XxBfKZb5E3K0Tsjh0Yd7NVHCk&amp;dib_tag=se&amp;keywords=bater%C3%ADa+lipo+4s&amp;qid=1773244660&amp;sprefix=bater%C3%ADa+lipo+4s%2Caps%2C279&amp;sr=8-9 - averageCustomerReviewsAnchor" xr:uid="{B405D198-AEB2-41AB-8183-F123ABA1E480}"/>
    <hyperlink ref="H27" r:id="rId16" display="https://www.amazon.es/Cargador-bater%C3%ADa-B6-Adaptador-Plomo-%C3%A1cido/dp/B0F2H3XR6S/ref=sr_1_4?__mk_es_ES=%C3%85M%C3%85%C5%BD%C3%95%C3%91&amp;crid=34QU7DV7X0QA6&amp;dib=eyJ2IjoiMSJ9.KAsNrUN67640EG9HqJrkn6yqYWRXHAOb9BxAVtkPL_BzVbrVYj5K7nErZh-SQEAHJJ0xvv7eZeF7r8bB2UqsJau7kUveT0RvCgsVCVXEm8pNF81T87I1CrQKyGfpChG7NxtWqtfnr77rlA2XTqMChDy1HUaN-BWHk9ihlw2-99ERXOHI0TadFKy06IFCsDjqxT2_BaP3PRVWpKyndnPf7s-XxUzTubW9jKTur-dyooENB04S-Id5cRNvN8JouNB83me1gTX4tMPa-PvNRGKYlKSVpAwMB42EwK9dw-I0icA.VnUBY1GjkH2FTiguCAqfhFO3OSmbnZQjFquz7N6_mEE&amp;dib_tag=se&amp;keywords=iMAX+B6AC+V2&amp;qid=1773171462&amp;sprefix=imax+b6ac+v2%2Caps%2C272&amp;sr=8-4" xr:uid="{3C224DA8-30F7-4F19-90DB-5618176E81DA}"/>
    <hyperlink ref="H28" r:id="rId17" display="https://www.amazon.es/QC-Battery-Monitor-Zumbador-indicador/dp/B077Z1N9CS/ref=sr_1_3?__mk_es_ES=%C3%85M%C3%85%C5%BD%C3%95%C3%91&amp;crid=39RT720YW8ZNT&amp;dib=eyJ2IjoiMSJ9.MY6SlYJTqJ3jmh6aHijBxbbDhe_GF0-2JBVgFvf8om4ij8yxxrXveLjfJ2zsUidkdvgjknztHkKQNLreRaUDJLSRDZ1sp4XDdpUKI5BhROwaXuzgrL-aekS2BiavI3eOx2QoNZwdLf8JNfN1CiMAXeELRMg7t6K21bqK71HVtwIzy3lqikH3qjaWZlKo8Nb3L2kAIikrD74GZpyqVjxfqG1nZCjDPMm7KEEcOStRZtNR83bvs6NStIOe4nk1Rhq-HoaNs49pG3hd9T8xPzLsZTqDKDJoT0xSr4WE_vYIK2g.VHbvYyEZWZ6Fce_b5rSlQjfZKp8abAc3cfFh1zXK7T0&amp;dib_tag=se&amp;keywords=alarma+lipo+3s&amp;qid=1773169916&amp;sprefix=alarma+lipo+3s%2Caps%2C259&amp;sr=8-3" xr:uid="{A0E35905-7912-4917-B034-C3D6EF69A030}"/>
    <hyperlink ref="H30" r:id="rId18" display="https://www.amazon.es/Silicona-Alambres-El%C3%A9ctricos-Conductor-paralelo/dp/B07QJFRYT8/ref=sr_1_4_sspa?__mk_es_ES=%C3%85M%C3%85%C5%BD%C3%95%C3%91&amp;crid=ZKXGI42MUBE1&amp;dib=eyJ2IjoiMSJ9.vP7l3px8brauKHEWabIqh2q77CwZAs35XFwn2WPsYydTuEa3eBANxFIfE-j4nbaJvrjiOLO4hiU3mHCBwqs2l0qh0No1yehOTHfVfZkfY7WX9efTTh3g-8CW6ceFePIwayQYCUp_mgC-PGQW7ORRgKK9V4Ovb0z8tsBxMqusotn6ZfLQWUZ3kwP36-It7TqIvFScEAZoGkvLtxx82nOG5vyjpicf7MsA5WtSp00fKocFfXIUH6h72YKCa8XoSz5Ls9xbLz1ksKdi1k6NEx1G_DLml8LStbw3OGnxUlfo2mI.TpmT5cZ0XB8pU0tkx73siv9H7aGHJWi_uziEeFn57P0&amp;dib_tag=se&amp;keywords=awg+16+6+metros&amp;qid=1772640640&amp;sprefix=awg+16+6+metros%2Caps%2C264&amp;sr=8-4-spons&amp;aref=wCPkgqRmMG&amp;sp_csd=d2lkZ2V0TmFtZT1zcF9hdGY&amp;psc=1" xr:uid="{1C94DAEF-4D89-4C7A-80AB-90FAFB1C7C30}"/>
    <hyperlink ref="H31" r:id="rId19" display="https://www.amazon.es/MMOBIEL-AWG-Cable-El%C3%A9ctrico-Paralelo/dp/B0DGV6793J/ref=sr_1_2_sspa?__mk_es_ES=%C3%85M%C3%85%C5%BD%C3%95%C3%91&amp;crid=32HNB5XZF41XX&amp;dib=eyJ2IjoiMSJ9.gt22szl_18Glurg4U1DQtB7Fig60J9yr2qM0TybBVoLC9mYfq7UVUwDNh24d9BJdvtc607118ZFH_6Dt2914eMKf4s1hM-mA-_ecfSIa7QIBIzOv4qkWJeiFvn5OMLRY-nUZ2iLj_fuXMa3GcYc29WILBP7SZXwmHNTAbu2UvlgztMLtt49wDSHkyTUJiVE_JJ-wxFh1QDg9-ljfYYCjUWLtGnGkELstMrEkRbHLRmyY5QNDxnniK1g6xkpuex0w4jFNJ1ctR4OSRUKgbJqdJkxtgc9oPwHKo-gNyL0k-Q0.vY51qI8JGy--Nfh5tPCP9lW8MmAfxhaNRTH4bwZ49So&amp;dib_tag=se&amp;keywords=awg+18+10+metros&amp;qid=1772641111&amp;sprefix=awg+18+10+metr%2Caps%2C268&amp;sr=8-2-spons&amp;aref=p6gYwqe8e7&amp;sp_csd=d2lkZ2V0TmFtZT1zcF9hdGY&amp;psc=1" xr:uid="{A29D6CBD-1688-4D6F-9817-6DAE7B35D878}"/>
    <hyperlink ref="H32" r:id="rId20" display="https://www.amazon.es/URCIANOW-El%C3%A9ctrico-Conductores-trenzado-esta%C3%B1ado/dp/B0CH9X7X6L/ref=sr_1_9?__mk_es_ES=%C3%85M%C3%85%C5%BD%C3%95%C3%91&amp;crid=14APP7FNL1Q6G&amp;dib=eyJ2IjoiMSJ9.JvbHsujQ_md5chX8gHzWCnLXvJZUqiJ7IIigKGO4AqEmifu8u5SirynUnfrhU66gWz06gIEFLzrhYw2fC7AiqEniixEKF62KCilZWUH7bHH5rQfwzTxVc3G-L70oXNOxGB1N_7y63lYDyxJGNuCOcxMzepcZFYNpnggWvth3ySdcphrnSsLqZASm6oS-8p8-cUnOTrmSw_DS39Glt2200Q7rYj7Yj9XxOSt8UEOXVh-TLcWQZR5uCvVhuowxcG9_n7dVuB5HErIcV9mrSfvnCrEeZMj-CRPJwzu2TsdV-oc.YAlltGFh0BtIacObRZ1mYc5ur0eWEd8aQsNaEnldJm0&amp;dib_tag=se&amp;keywords=awg%2B24%2B10%2Bmetros&amp;qid=1772640679&amp;sprefix=awg%2B24%2B10%2Bmetros%2Caps%2C276&amp;sr=8-9&amp;th=1" xr:uid="{B2535F28-AE00-46EB-AE63-A24167D75D8A}"/>
    <hyperlink ref="H33" r:id="rId21" display="https://www.amazon.es/TECHZOCO-alambre-Prototipo-Raspberry-Breadboard/dp/B0DLR85XS5/ref=sr_1_1_sspa?__mk_es_ES=%C3%85M%C3%85%C5%BD%C3%95%C3%91&amp;crid=36WU915EDAZYT&amp;dib=eyJ2IjoiMSJ9.5qMtyjWwBUh2Mpyy_x0mzAbLl54F_4finROkP7nKIaGgzCbLr-ppskhJvRvOECzjHxMm2OkDKCsSIOlm1YE4A9J7F33Q5ZhWgDjJUjP-RdUg-PkVz9zzCiWfjOGaCg7E_MqbqpKyDtcec8CW2sd1ZHEUQ9Xi_rFoyOTfapyyMN44n891Ou2ZJ8tJqu5cvlRZHORdIKfz0HossCwcuR-B_5aUwsQZ2Hi77WSyn6MOlOONK346eVmrKPlSPV-NAOVfIEZIJNIf5BQjFUWbc1ONbhAvc8C7q20WghUnMBb5H-0.8bc-hsPZuwj1pxPoJ9rGBB0kSnRwApdzp0dLQ3-SNVY&amp;dib_tag=se&amp;keywords=Dupont%2Bmacho%E2%80%91hembra&amp;qid=1777912677&amp;sprefix=dupont%2Bmacho%2Bhembra%2Caps%2C110&amp;sr=8-1-spons&amp;aref=qz43jKcfdK&amp;sp_csd=d2lkZ2V0TmFtZT1zcF9hdGY&amp;th=1" xr:uid="{AAC25CE6-44B1-46FB-A2AA-A49B2B51E728}"/>
    <hyperlink ref="H34" r:id="rId22" display="https://www.amazon.es/deleyCON-USB-USB-C-Cable-5Gbps/dp/B0GVKJJ3QN/ref=sr_1_1_sspa?crid=1495XQPF2N960&amp;dib=eyJ2IjoiMSJ9.j4q9g17WbqLO_SgvhlZt8K2_5FEvFHzKwXYJjlDQKxgdhksILQF_-uBiI7kLNoF2Vp784FV4vEsH8EKi98RK1dVHOlUlAoDfBCWLLnzm2ZVbSwsv86y_hM6G5FZAT2HZiznnfO-YQ7ZMccyP_xa1v3HCiP_VBn0f2fUGMVQ08kUY_ojlqAth0b8U-qTI_yDLqxC_S7z41erjjDGQ-a6V2NMC4ZAoguNfpbV2opIstTEYIgbVe8DKpSlapXjkXqVKWiN2BahXnA3T9SgQQ2gxnGwv-52Ny_hTn0iD4OcwzJs.J5e306NLUrZWl-k1b5xGAOJJuuSKGPzsMqyLU7INVyM&amp;dib_tag=se&amp;keywords=cable%2BUSB-A%2Ba%2BUSB-C%2B1m&amp;qid=1777902807&amp;sprefix=cable%2Busb-a%2Ba%2Busb-c%2B1m%2Caps%2C148&amp;sr=8-1-spons&amp;aref=oh9BHXtS9Z&amp;sp_csd=d2lkZ2V0TmFtZT1zcF9hdGY&amp;th=1" xr:uid="{7FDEB39D-7B32-433C-985E-0B1F9903D41C}"/>
    <hyperlink ref="H35" r:id="rId23" display="https://www.amazon.es/deleyCON-Printer-Printers-Scanners-Braided/dp/B0DGW5V48J/ref=sr_1_1_sspa?crid=28BVYB9Z5LA4Q&amp;dib=eyJ2IjoiMSJ9.L-UEsjklx3tUzOdsnCJEpYTyjm5IGvubJk9_-yDjhzkWC3YLbS8pWbFHALRmdBVH1MnUm2qH8HN-21LavudZ1IxpnW-Tw0DVQgn3JahgwVaaug2IYj3kiI94mULa_fII1kFyRntzQaGulzoTr55tSF-UJzgPDO8aslHqWQLzi7lTggOV479dWe2rYHshXdzE7RTLm58ZEbk2CHyI7dsIkXW357DjTJK0zy9WnMqrgZ736mImC24rxp7kaWBujvntnR3pWYQ_cbt4rLldwtjMjBKyv-p4GRKShpN5yA8pvFI.Wxw46rhhjJDIDVxVPqYgspqb7pndnBdHty1i6zECcv0&amp;dib_tag=se&amp;keywords=cable%2BUSB-A%2Ba%2BUSB-B%2B1m&amp;qid=1777902877&amp;sprefix=cable%2Busb-a%2Ba%2Busb-b%2B1m%2Caps%2C138&amp;sr=8-1-spons&amp;aref=RZYEU1OTpi&amp;sp_csd=d2lkZ2V0TmFtZT1zcF9hdGY&amp;th=1" xr:uid="{5D45DB42-299F-46EF-8AC9-0D3FD895986D}"/>
    <hyperlink ref="H36" r:id="rId24" display="https://www.reichelt.com/es/es/shop/producto/raspberry_pi_-_cable_de_alimentacion_usb-c_max_5_a_1_m-405496?country=es&amp;CCTYPE=private&amp;LANGUAGE=es" xr:uid="{BBF3E7D3-63F7-4BEA-86FF-81056FE6712B}"/>
    <hyperlink ref="H45" r:id="rId25" display="https://www.amazon.es/dp/B0CL4XF6HH/ref=sspa_dk_detail_1?pd_rd_i=B0CL4W5GKY&amp;pd_rd_w=iLMzv&amp;content-id=amzn1.sym.60485818-e89c-4f5b-aa04-170e61bec575&amp;pf_rd_p=60485818-e89c-4f5b-aa04-170e61bec575&amp;pf_rd_r=YETD1VP9NM7E9DMA77J5&amp;pd_rd_wg=FsswE&amp;pd_rd_r=cb96aa70-5baf-481d-8bad-e9feeea3e566&amp;aref=ggrQ3vEDTD&amp;sp_csd=d2lkZ2V0TmFtZT1zcF9kZXRhaWxfdGhlbWF0aWM&amp;th=1" xr:uid="{7839191A-A0C2-4A67-BC44-A6F7F9E00946}"/>
    <hyperlink ref="H46" r:id="rId26" display="https://www.amazon.es/Rodamientos-Cojinetes-Cojinete-Maquinaria-Transporte/dp/B0DJ3G4DZ4/ref=sr_1_12_mod_primary_new?__mk_es_ES=%C3%85M%C3%85%C5%BD%C3%95%C3%91&amp;crid=U1197GUBIDEX&amp;dib=eyJ2IjoiMSJ9._VofQlb7DLg8hdUEGYvQirornVpsYy2Okr0_uWg8gaPulMe64cWN8p06MjGOnvFGGHCqqfndI0a3aIEiRWP8Nv4P_4gNMBB7w90sDSj9MSNLu8lBG-FR68jvbXyZ0n_2f5eBaoQIZnW9HVsJYFNv6Ft3YcQ--LaCsYgm5dMOxyp3qYMNzQSSYNlJglGRfxH3jUyYOhILJtFMKomcr2mnQh-e5yrJGbQMW_izN-nvWfUWCJiELHh47iJslg0ba9lclQfjXtjgBxbK7QjRenmAIepXMIvnhy58Qm7UgG-7ji8.Hb262_inKDn_XF8vurcDxQHs1Gsg6x9CrJ8mzG8I_-Q&amp;dib_tag=se&amp;keywords=cojinete+con+brida+10mm+diametro&amp;qid=1772398309&amp;sbo=RZvfv%2F%2FHxDF%2BO5021pAnSA%3D%3D&amp;sprefix=cojinete+con+bri+10mm+diametro%2Caps%2C278&amp;sr=8-12" xr:uid="{6ACB1F14-2359-4051-B500-1E6CF6D727C6}"/>
    <hyperlink ref="H47" r:id="rId27" display="https://www.amazon.es/Alamor-Sincronizaci%C3%B3n-20Teeth-Di%C3%A1metro-Impresora/dp/B076P75NGK/ref=sr_1_17_sspa?__mk_es_ES=%C3%85M%C3%85%C5%BD%C3%95%C3%91&amp;crid=25SA684M1KGEP&amp;dib=eyJ2IjoiMSJ9.fqOtoUtbzrvLnwgGY91rC-DzKLj209VqcNLDP35zdCkRbv0AOjJCcJvLt0BoPoUOGOYe3pe8fLMHB4NI5d1g2l7em6AYNG5rzwdKZvmBsqupKPTxku9gJqbN8CVBqIuxRA4HvSAG1HXFd1VejTW_sbf2zxtuu0OMJMiJ6ZM9vkyw35sUWHPTGeGjQnaxZFGmpyUguNuManw3HhjjF0otpa5KYrdr8PNeiVTgT4hoIPmFDVl3C2Hxw0p94vCtHS5B403B3OEyRk8PEE9ZJJyx5Qz427UmS2h9ITJp0kJVIN0.Q6pU3W6Sx_5vOrpkQJAZYnu6FgwyhA6RciLvVltGN1Y&amp;dib_tag=se&amp;keywords=polea%2BGT2%2B20%2Bdientes%2B6.35%2Bdiametro%2B10%2Bancho&amp;qid=1772380539&amp;sprefix=polea%2Bgt2%2B20%2Bdientes%2B6.35%2Bdiametro%2B10%2Bancho%2Caps%2C274&amp;sr=8-17-spons&amp;aref=fgGqe2XHRp&amp;sp_csd=d2lkZ2V0TmFtZT1zcF9tdGY&amp;th=1" xr:uid="{52E0E5CA-EE30-45D4-ADC0-1BF0BE548F63}"/>
    <hyperlink ref="H48" r:id="rId28" display="https://www.amazon.es/dentada-distribuci%C3%B3n-di%C3%A1metro-s%C3%ADncrona-impresora/dp/B0D3CDWB7C/ref=sr_1_8?__mk_es_ES=%C3%85M%C3%85%C5%BD%C3%95%C3%91&amp;crid=1XZJQK4F575W6&amp;dib=eyJ2IjoiMSJ9.YJQqPGtbHUxD8vLd_5DZk7tXoIp961D-QkkuB9CGPPlVl6Y155J1VhlAk6X656lQN9Ljl-Wer58lz8DgQ8a2XAPO35wlf-SVPbNsAeKm1RWguWPJUbLE9lv9IcHBxgZiZ-TUIV_SFzEIqTu_ETINCIDQ2CM68cnppU7tLLkNRXHiT-VZ18hpl38FKI5bAhIxDl3KGRk-FIQ0bAw4tD0mVizgy_SSG1z-N-OP2R1fgQGfZnxrWNw8GiprCbyJz8LQVLCfj2LigQbaqDRFfZ8mMDpCeDERG-N82gJz8QfeObE.OOrMJDmGNzUGIEjCoTWZam-4ePAJ4E1YlfNqMMeVB1E&amp;dib_tag=se&amp;keywords=polea%2BGT2%2B100%2Bdientes%2B10%2Bdiametro%2B10ancho&amp;qid=1772233521&amp;sprefix=polea%2Bgt2%2B100%2Bdientes%2B10%2Bdiametro%2B10ancho%2Caps%2C271&amp;sr=8-8&amp;th=1" xr:uid="{20908E6D-46B9-4CA2-8657-8EF42E42C519}"/>
    <hyperlink ref="H49" r:id="rId29" display="https://www.amazon.es/Turmberg3D-Correa-dentada-cerrada-GT2/dp/B09B2GK13C/ref=sr_1_9?__mk_es_ES=%C3%85M%C3%85%C5%BD%C3%95%C3%91&amp;crid=9UAXN9JPFX74&amp;dib=eyJ2IjoiMSJ9.KeGHHfc1T5HJXYM-cBwjWIA3dlDXBtfZtcFsRs5RbE2GCRk0HzYLcfyDepjug15_Azp6Vbs0ZdnudkBRA7v8beQYKtyOJhdO88CQY_kk57437X77tf8v1dqbK6q7JcNFgUF7fuEfLAsLkh1fA_muELgWRlYT2OH9lcr-v8JBbv2CbXSQkbg--GD33i9VE5qJivKzBXx4OBmU8FLP-5NXHkgdBb9_wbhS9FO-M2V4Xms1OQWKwnXBA5QFdOv1FmVZ4ir_FtFTeIEhPrisdjJ5cPJtReyXH64ODZZv8ToWE_Q.G4VExiWJ0_eIu9SKKodH_Tx0lc5X4m7UDDuQfz0VY4c&amp;dib_tag=se&amp;keywords=correa+GT2+poliuretano+10mm+ancho&amp;qid=1772234622&amp;sprefix=correa+gt2+poliuretano+10mm+anc%2Caps%2C281&amp;sr=8-9" xr:uid="{7707CAA7-D6FD-4BBF-ABBD-734271DB4B1C}"/>
    <hyperlink ref="H50" r:id="rId30" display="https://www.amazon.es/unidades-horizontal-precisi%C3%B3n-rodamiento-redonda/dp/B0D2L12GW6/ref=sr_1_6?__mk_es_ES=%C3%85M%C3%85%C5%BD%C3%95%C3%91&amp;crid=38IR83Y0ZHELK&amp;dib=eyJ2IjoiMSJ9.e9DNp3XJHUWrVfoh32lynL2cF2TqlxoXyzoT6-pZiTIPHpiNlSX5PSb6eMogQaTyun0NEpa2sk4q7PX7QElB4UEiJukxZ6LWhgJ8U6jE8SR21O-edOkC5lgpVBPAZIALCihc7RUPAFPNCbobRhlKN-n33tHtI2EVTDoJ4ee6mzuhIo36mhzjswOo7UbiwP1onFxcY5USGs2ui9XkUum23B1c8pWtpEO0ZO0MwMJ3SjPC8GHeCvCh4lu2dDNIgM4OSiU6JlVJVc-KpfYqCBfot1Pw6XQP_91d65Zqn2ROcfA.hxOTZ53amvWPkfTPDZzggV5i9ijoM7P5BRR6WTEnGDw&amp;dib_tag=se&amp;keywords=shaft%2Bclamping%2Bhub%2B10mm%2Bdiametro&amp;qid=1772571849&amp;sprefix=shaft%2Bcamping%2Bhub%2B10mm%2Bdiametro%2Caps%2C262&amp;sr=8-6&amp;th=1" xr:uid="{0864286B-BB91-45B7-AFE9-C1569B918F22}"/>
    <hyperlink ref="H51" r:id="rId31" display="https://www.amazon.es/Flintronic-Giratorias-Autoadhesivas-Tornillos-Adhesivos/dp/B0DXB4NJPG/ref=sr_1_10?__mk_es_ES=%C3%85M%C3%85%C5%BD%C3%95%C3%91&amp;crid=1H4IVK2UVBUOD&amp;dib=eyJ2IjoiMSJ9.2LOtwuqUbpuGL6mM0iKvud-uzkXxBtKQNKWizltYesmDgKqHMQLcUV_OJIaa2SikH4fMcLuf3B1dhRewYMwIlPlEfmJd_WEqudmQx_UwUYrGHQAwWNPrDDrFldZmNrfYJPW3zZXO7c5YdNHm9dBzcsIAWYZudxZAnoputiLKSIjz3-4ejqtMS_AhOXMQERcYZayDZuT4sa2fcqYqzuAekBccBI_39MnCBUaFLLWi3TP0I-2_l-XnaBOyMSgialUvNH5qjLThfdsmYeQEBOu5zaoE7xBCnMCnTrNpWTOvD50.WLbNk5KoGALG3mRA8qXk8v12_fiM8nIO5eitVv8wlGY&amp;dib_tag=se&amp;keywords=rueda%2Bloca%2Bpeque%C3%B1a&amp;qid=1779815376&amp;sprefix=rueda%2Bloca%2Bpeque%C3%B1a%2Caps%2C98&amp;sr=8-10&amp;th=1" xr:uid="{67C1FEF6-D6F0-4027-A762-FED655117DC6}"/>
    <hyperlink ref="H53" r:id="rId32" display="https://handsontec.com/index.php/product/shf10-horizontal-linear-shaft-holder/?utm_source=chatgpt.com" xr:uid="{6269DABF-1320-49CC-9BC2-BC4BF89DDABD}"/>
    <hyperlink ref="H54" r:id="rId33" display="https://www.amazon.es/dp/B0FXR72L42?smid=A3KRCRBQV8XOTV&amp;ref_=chk_typ_imgToDp&amp;th=1" xr:uid="{C693BD0E-1CF6-4BA0-9E05-4DD9B095C039}"/>
    <hyperlink ref="H55" r:id="rId34" display="https://www.amazon.es/dp/B09XMC7YMY/ref=cm_cr_arp_d_btm?ie=UTF8" xr:uid="{6BBA756F-9E5F-408C-AFC1-4DAEB6A602E6}"/>
    <hyperlink ref="H56" r:id="rId35" display="https://www.amazon.es/Varilla-Roscada-Acero-Inoxidable-M8x300mm/dp/B0H9S17NXH/ref=sr_1_2_sspa?__mk_es_ES=%C3%85M%C3%85%C5%BD%C3%95%C3%91&amp;crid=3QTOQI6E8KKCZ&amp;dib=eyJ2IjoiMSJ9.l0gPAMIRtpdpcJQ8lqbWVIxD2O4odbdFLW6HVwGB5ChHfcVNpH9fhyg30tRiZljEeNQ11EWkFZgsr5GnTuyfa7NvP4yNDvCVqMxQnRXYvdhJpJdnGYX7HqCCcL3SldIkGSyqS_BLUDPbk8Wf_SCIP35J5A7rqRFhd_kjn4IMidvUesvRr5Tsc2t3Rs-vo9ODT8NmU-lFzq3LcU-Oh4EpcDDz_FbVFq3Cre0dWgP0JJBS0Gv31VbJtLBtZq9dyz2kauWydGQm00ds_1QMUdfhDim0uGAUgY77CFExo63LcEk.h1ocKGza9NxSOpV_kDIYiy0sweXXUcQzR25KZ786B30&amp;dib_tag=se&amp;keywords=Varilla%2Broscada%2BM8%2Bx%2B30%2Bcm&amp;qid=1789916185&amp;sprefix=varilla%2Broscada%2Bm8%2Bx%2B30%2Bcm%2Caps%2C103&amp;sr=8-2-spons&amp;aref=fTvtwOSvrc&amp;sp_csd=d2lkZ2V0TmFtZT1zcF9hdGY&amp;th=1" xr:uid="{428B0BBD-DBDA-4C20-A7CD-AE5CA9C467D7}"/>
    <hyperlink ref="H57" r:id="rId36" display="https://www.amazon.es/dp/B0FQ2J8FX7/ref=sspa_dk_detail_1?psc=1&amp;pd_rd_i=B0FQ2J8FX7&amp;pd_rd_w=xVwvk&amp;content-id=amzn1.sym.0c640cbd-b6e0-461d-8cfc-a8934b5122df&amp;pf_rd_p=0c640cbd-b6e0-461d-8cfc-a8934b5122df&amp;pf_rd_r=YPPGQS58E9CBTKS706ZX&amp;pd_rd_wg=NixEG&amp;pd_rd_r=5db15c8d-09ab-4f44-a37e-e64fad4f1c74&amp;aref=3WEpV6r98c&amp;sp_csd=d2lkZ2V0TmFtZT1zcF9kZXRhaWw" xr:uid="{5FA1CB3F-7172-4F55-9A03-01CBA88501EB}"/>
    <hyperlink ref="H58" r:id="rId37" display="https://www.amazon.es/tornillos-hexagonales-arandelas-roscados-Phillips/dp/B0B42DJPHZ?pd_rd_w=bmill&amp;content-id=amzn1.sym.b81adfe2-eaac-4c2e-a678-07d2f7fdc9fb&amp;pf_rd_p=b81adfe2-eaac-4c2e-a678-07d2f7fdc9fb&amp;pf_rd_r=CY055Q7VG8WHHX7FEPQE&amp;pd_rd_wg=agjyf&amp;pd_rd_r=c74e3aa1-7dad-4a0a-9522-9717f4a376fe&amp;ref_=sspa_dk_detail_sbt_img_0&amp;sp_csd=d2lkZ2V0TmFtZT1zcF9kZXRhaWxfdGhlbWF0aWM&amp;aref=tkPnxw8KF2&amp;th=1" xr:uid="{59DB68A7-5CE4-4F73-8C28-1F04FEC69070}"/>
    <hyperlink ref="H59" r:id="rId38" display="https://www.amazon.es/Tornillos-M3-Hexagonal-Cil%C3%ADndricaTornillos-Inoxidable/dp/B0F8R4RT7N/ref=sr_1_5?__mk_es_ES=%C3%85M%C3%85%C5%BD%C3%95%C3%91&amp;crid=28CAQP7UKBZDO&amp;dib=eyJ2IjoiMSJ9.b7UWES6ejXfDUTwXqkTyBw8Fw_uwUEGXsOHSF9L9m3BlIhLoJV4MPWUUu5VHghKCKvvBJ55eMnP47esjoi0gToPZPaiowuVESaWZiMWOMdFpaHtPY8h75Z2momniqZoUz-dZST97RNa076JjAPTM-xeYoLkL-tVVANktIEatmDKdNPV9kN_gtMdANaE_RK1UF_BcevQACWOoyGmv8PSEQ-oohYmIvkt6yobgI8IIthgtqgAqArlcVUGE_GvyPgOvWVPUKaDN4Eo7zy4_L7SDTozdnNxJpB3fAax8pKr65RA.jc7eyCuILr_OTqpLG2S7NlcOcXWR7uHMtLuHbUjattU&amp;dib_tag=se&amp;keywords=perno%2Bm3%2Bx%2B25mm&amp;qid=1782980332&amp;sprefix=perno%2Bm3%2Bx%2B25mm%2Caps%2C150&amp;sr=8-5&amp;th=1" xr:uid="{E0A46CCA-BC44-4532-83F7-69391B241C2F}"/>
    <hyperlink ref="H60" r:id="rId39" display="https://www.amazon.es/sourcing-map-inoxidable-industrias-maquinaria/dp/B0FDQ919CL/ref=sr_1_50?__mk_es_ES=%C3%85M%C3%85%C5%BD%C3%95%C3%91&amp;crid=2KFM0XU3WE9NW&amp;dib=eyJ2IjoiMSJ9.70Z1i0LYmOCFDusSWDjtHTtDDZrHWYCkhCd7aFrngSl13elP9TVWeQDferm7DH48dymFw86Ow7V77_u2Zgn3UyM4E5Sr_KzhQsv8U__baMQeAIFhUU5dR4IqxtOGurV5ZE6pkNWGF9WrO-l7HGXNW2Ywy9IoX7eFZKE_Ll2MUeA8LJ66upEV0gexjGgjhUM-ZDMvZgEQZvd9dEvdcX3Iewac1sgD0UmqYK8iN_2hGwx_cSkQmIK0dS5uMy2i8tSNEMvn0asd3oroF-mT9HuoQIj2FgVzzg1352g_HfmOHEk.2HLBTnXng0iz6JJF-IXmW7-Mqlu62UIK7_3QJNUxfd8&amp;dib_tag=se&amp;keywords=tornillo%2Bhombro%2Bm4%2Bx%2B50%2Bmm&amp;qid=1778424820&amp;sprefix=tornillo%2Bhombro%2Bm4%2Bx%2B50%2Bmm%2Caps%2C136&amp;sr=8-50&amp;th=1" xr:uid="{09DC9A7E-C4C2-416C-B4F7-775EE8E39797}"/>
    <hyperlink ref="H61" r:id="rId40" display="https://www.amazon.es/GUEEYUAW-Piezas-Tuercas-Hexagonales-Inoxidable/dp/B0FHBH3MD1/ref=sr_1_3_sspa?__mk_es_ES=%C3%85M%C3%85%C5%BD%C3%95%C3%91&amp;crid=1MS6VIWA6YPOT&amp;dib=eyJ2IjoiMSJ9.dJXlGqNZ6C_bMqLNDuVNgfOoERIX3PLS2LhwqDvuCbU5en3lOwZbWzT9OyjdVzt1B3Y5TjQaV3iWFOPIvwAXERLfiFVUiYKx0ZyvywrFgp1HfeHd0Yx2-d1SeBXGdOjtm4WthFZi-SyZOImFRqbk5-_gi38FwExaSRddyOFtBGT_yf6K0twm9l_o104KSvPcuKzNckmkndVZTGuaMRcH9rs8enC_Xi8JoHHAt9zP2sBplO_jnsJQjKaWGFXkYiNqnMmTkdlDcZNET6emmKNfL3dHKq0_MsfLVuLxRJk2l_s._aPYXoDtphVrdBYJGBG8-ql1IHHI-rqALlZxOFc5nak&amp;dib_tag=se&amp;keywords=tuercas%2Bm8&amp;qid=1778088997&amp;s=industrial&amp;sprefix=tuercas%2Bm%2Cindustrial%2C267&amp;sr=1-3-spons&amp;aref=k1OKekXzsI&amp;sp_csd=d2lkZ2V0TmFtZT1zcF9hdGY&amp;th=1" xr:uid="{919FC296-8D4F-48D6-A9A2-AEE726B5D8C2}"/>
    <hyperlink ref="H62" r:id="rId41" display="https://www.amazon.es/dp/B0FV3MFBQG?ref=ppx_yo2ov_dt_b_fed_asin_title" xr:uid="{6CBB8CB9-78CC-437C-9B8D-CC7FC4D1FECF}"/>
    <hyperlink ref="H65" r:id="rId42" display="https://www.amazon.es/HUAREW-HR990307-alambre-soldadura-colofonia/dp/B08CRNHLKV/ref=sr_1_3?__mk_es_ES=%C3%85M%C3%85%C5%BD%C3%95%C3%91&amp;crid=16F71YVSI44ML&amp;dib=eyJ2IjoiMSJ9.jDABxqLOI5olZc4oT7sEEgXizovuJF1MgpyGHr0z7s9Xo1FrA4ruksbtCLXrV0SNJjUMk7v468BDOY-l9MIFU8yPsvLHWqVrtasqNhBSu7rYYDKs3zNoYGzJa9tyNMwXVjjsH_KecasKdPbbgV5oAtx8uFYN_l41W7rJVqMYctc0NbZ-MDJtR_e_N622X9qGA51ErTCnFPgdaNCfl5FiPwzk7AJ9n1LMUcD36OipZFWPXG3EsqAK2j3i8vC8EZ3ulZRWAa9C2FAFq_0QiM6CJ3_OOx397al4DK701BTtUu0.tKclOiY-4fVeY5nVer1_ZiqhFXxeXq8lqJAzAr8wqcM&amp;dib_tag=se&amp;keywords=esta%C3%B1o%2Bpara%2Bsoldar%2B60g&amp;qid=1773341008&amp;sprefix=esta%C3%B1o%2Bpara%2Bsoldar%2B60g%2Caps%2C238&amp;sr=8-3&amp;th=1" xr:uid="{A913272F-7629-4ABB-86BB-90CB1D9B6844}"/>
    <hyperlink ref="H64" r:id="rId43" display="https://bcn3d.com/es/producto/pla-bcn3d-filamentos-2/" xr:uid="{A27AA775-63C3-4DBC-AD76-F2A48A0CF8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Llansó Alonso</dc:creator>
  <cp:lastModifiedBy>Marc Llansó Alonso</cp:lastModifiedBy>
  <dcterms:created xsi:type="dcterms:W3CDTF">2026-10-04T11:16:44Z</dcterms:created>
  <dcterms:modified xsi:type="dcterms:W3CDTF">2026-10-04T15:36:31Z</dcterms:modified>
</cp:coreProperties>
</file>